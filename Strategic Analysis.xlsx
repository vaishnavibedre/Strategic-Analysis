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Pivot Table 1" sheetId="2" r:id="rId5"/>
    <sheet state="visible" name="Pivot Table 2" sheetId="3" r:id="rId6"/>
    <sheet state="visible" name="Analysis" sheetId="4" r:id="rId7"/>
  </sheets>
  <definedNames>
    <definedName hidden="1" localSheetId="0" name="_xlnm._FilterDatabase">Dataset!$A$1:$I$721</definedName>
  </definedNames>
  <calcPr/>
  <pivotCaches>
    <pivotCache cacheId="0" r:id="rId8"/>
  </pivotCaches>
  <extLst>
    <ext uri="GoogleSheetsCustomDataVersion2">
      <go:sheetsCustomData xmlns:go="http://customooxmlschemas.google.com/" r:id="rId9" roundtripDataChecksum="cuOQsPfj+/MZdUFlCapHETFFv8HJrkN5gRcm5atYPGI="/>
    </ext>
  </extLst>
</workbook>
</file>

<file path=xl/sharedStrings.xml><?xml version="1.0" encoding="utf-8"?>
<sst xmlns="http://schemas.openxmlformats.org/spreadsheetml/2006/main" count="3180" uniqueCount="108">
  <si>
    <t>Store_ID</t>
  </si>
  <si>
    <t>Store_Name</t>
  </si>
  <si>
    <t>Location</t>
  </si>
  <si>
    <t>Month</t>
  </si>
  <si>
    <t>Product_Category</t>
  </si>
  <si>
    <t>Units_Sold</t>
  </si>
  <si>
    <t>Unit_Price_Rs</t>
  </si>
  <si>
    <t>Total_Sales_Rs</t>
  </si>
  <si>
    <t>Customer_Count</t>
  </si>
  <si>
    <t>Store_1</t>
  </si>
  <si>
    <t>Chennai</t>
  </si>
  <si>
    <t>Jan</t>
  </si>
  <si>
    <t>Smartphones</t>
  </si>
  <si>
    <t>Laptops</t>
  </si>
  <si>
    <t>Tablets</t>
  </si>
  <si>
    <t>Accessories</t>
  </si>
  <si>
    <t>Feb</t>
  </si>
  <si>
    <t>Mar</t>
  </si>
  <si>
    <t>Apr</t>
  </si>
  <si>
    <t>May</t>
  </si>
  <si>
    <t>Jun</t>
  </si>
  <si>
    <t>Jul</t>
  </si>
  <si>
    <t>Aug</t>
  </si>
  <si>
    <t>Sep</t>
  </si>
  <si>
    <t>Oct</t>
  </si>
  <si>
    <t>Nov</t>
  </si>
  <si>
    <t>Dec</t>
  </si>
  <si>
    <t>Store_2</t>
  </si>
  <si>
    <t>Pune</t>
  </si>
  <si>
    <t>Store_3</t>
  </si>
  <si>
    <t>Bangalore</t>
  </si>
  <si>
    <t>Store_4</t>
  </si>
  <si>
    <t>Store_5</t>
  </si>
  <si>
    <t>Store_6</t>
  </si>
  <si>
    <t>Delhi</t>
  </si>
  <si>
    <t>Store_7</t>
  </si>
  <si>
    <t>Store_8</t>
  </si>
  <si>
    <t>Store_9</t>
  </si>
  <si>
    <t>Store_10</t>
  </si>
  <si>
    <t>Store_11</t>
  </si>
  <si>
    <t>Store_12</t>
  </si>
  <si>
    <t>Store_13</t>
  </si>
  <si>
    <t>Store_14</t>
  </si>
  <si>
    <t>Store_15</t>
  </si>
  <si>
    <t>SUM of Total_Sales_Rs</t>
  </si>
  <si>
    <t>Values</t>
  </si>
  <si>
    <t>Grand Total</t>
  </si>
  <si>
    <t>AVERAGE of Total_Sales_Rs</t>
  </si>
  <si>
    <t>Store_1 Total</t>
  </si>
  <si>
    <t>Store_10 Total</t>
  </si>
  <si>
    <t>Store_11 Total</t>
  </si>
  <si>
    <t>Store_12 Total</t>
  </si>
  <si>
    <t>Store_13 Total</t>
  </si>
  <si>
    <t>Store_14 Total</t>
  </si>
  <si>
    <t>Store_15 Total</t>
  </si>
  <si>
    <t>Store_2 Total</t>
  </si>
  <si>
    <t>Store_3 Total</t>
  </si>
  <si>
    <t>Store_4 Total</t>
  </si>
  <si>
    <t>Store_5 Total</t>
  </si>
  <si>
    <t>Store_6 Total</t>
  </si>
  <si>
    <t>Store_7 Total</t>
  </si>
  <si>
    <t>Store_8 Total</t>
  </si>
  <si>
    <t>Store_9 Total</t>
  </si>
  <si>
    <t>PART A</t>
  </si>
  <si>
    <t>To identify the statistics, I created the Pivot Table 1 to perform the calculation on the aggregated monthly sales data</t>
  </si>
  <si>
    <t>Mean</t>
  </si>
  <si>
    <t>This establishes the average expected monthly revenue per store. It should be used as the primary performance benchmark for setting store budgets and sales goals.</t>
  </si>
  <si>
    <t>Median</t>
  </si>
  <si>
    <t>The Median is very close to the Mean, indicating the data distribution is relatively symmetrical and not heavily skewed by extreme outliers. This means the Mean is a reliable and representative measure of central tendency.</t>
  </si>
  <si>
    <t>Mode</t>
  </si>
  <si>
    <t>The Mode calculation returns an error ($\#N/A!$), indicating that no single monthly total sales figure is repeated across the 180 observations. Therefore, the dataset is considered non-modal.</t>
  </si>
  <si>
    <t>Variance</t>
  </si>
  <si>
    <t>Variance is the average squared distance from the Mean. High value due to large sales figures.</t>
  </si>
  <si>
    <t>Standard Deviation</t>
  </si>
  <si>
    <t>The standard deviation is approximately 12.8% of the Mean. This is a moderate level of sales variability. This stability is beneficial, as it means revenue forecasting is reliable, and the risk of unexpected, drastic sales dips is relatively low.</t>
  </si>
  <si>
    <t>PART B</t>
  </si>
  <si>
    <t>Highest Sales</t>
  </si>
  <si>
    <t>Lowest Sales</t>
  </si>
  <si>
    <t>Z-Score for Highest Sales</t>
  </si>
  <si>
    <t>For a perfect normal distribution, the most extreme values should be roughly symmetrical around 0 (e.g., ±3). Since 2.58 and -2.61 are nearly symmetric and within 3, this is an early indicator of normality.</t>
  </si>
  <si>
    <t>Z-Score for Lowest Sales</t>
  </si>
  <si>
    <t>±1 SD Range</t>
  </si>
  <si>
    <t>Mean - SD</t>
  </si>
  <si>
    <t>Mean + SD</t>
  </si>
  <si>
    <t>±2 SD Range</t>
  </si>
  <si>
    <t>Mean - (2*SD)</t>
  </si>
  <si>
    <t>Mean + (2*SD)</t>
  </si>
  <si>
    <t>Count ±1 SD Range</t>
  </si>
  <si>
    <t>Count ±2 SD Range</t>
  </si>
  <si>
    <t>Calculated Coverage</t>
  </si>
  <si>
    <t>Theoretical Coverage (Normal)</t>
  </si>
  <si>
    <t>±1 SD Range %</t>
  </si>
  <si>
    <t>approx 68%</t>
  </si>
  <si>
    <t>±2 SD Range %</t>
  </si>
  <si>
    <t>approx 95%</t>
  </si>
  <si>
    <t>Since actual coverage figures are very close to the theoretical figures, it can be conclude that the sales data closely follows a normal distribution.</t>
  </si>
  <si>
    <t>Sales Target (X)</t>
  </si>
  <si>
    <t>Probability (X&gt;5000000) = 1 - P(X&lt;=5000000)</t>
  </si>
  <si>
    <t>P(X&lt;=50L)</t>
  </si>
  <si>
    <t>P(X&gt;50L)</t>
  </si>
  <si>
    <t xml:space="preserve">As the Probablity approximately 99%, Sales are virtually certain to exceed Rs 50 Lakh in any given month/store combination. </t>
  </si>
  <si>
    <t>Inventory Management: The low standard deviation indicates that sales are very predictable. Inventory risk from unexpected demand spikes or crashes is low. Forecasting models can rely heavily on the Mean (₹11,781,135.60). The main impact is optimization: Management can keep safety stock levels low, freeing up capital, and focus on streamlining the supply chain for the most profitable products</t>
  </si>
  <si>
    <t>Marketing Decisions: The objective of Rs. 50 lakh is too easy. Marketing efforts should not aim to prevent sales below Rs. 50 Lakh. Instead, resources should be allocated to initiatives aiming at increasing the average monthly sales from Rs. 1.178Cr toward the ±1 SD upper bound Rs. 1.33Cr The minimal variability also implies that every increase in marketing spending should result in a predictable return on investment (ROI).</t>
  </si>
  <si>
    <t>PART C</t>
  </si>
  <si>
    <t>Pivot Table 2 Sheet created. I have attached Screenshot of Store_1 for reference.</t>
  </si>
  <si>
    <t>A pivot table allows you to perform an aggregate calculation (like SUM or AVERAGE) across two or more dimensions simultaneously. 
A Pivot Table is a powerful tool for multi-dimensional summarization. It simultaneously aggregates the Total_Sales_Rs (the value) and allows you to perform an aggregate calculation (like SUM or AVERAGE)  across two separate, non-numeric dimensions:
1. Store_Name (Row Dimension): Performance across the retail locations.
2. Product_Category (Column Dimension): Performance across product lines.
Instead of having to use complex formulas like SUMIFS repeatedly, the pivot table instantly cross-tabulates. The table instantly reveals the revenue hierarchy (Smartphones are the highest total revenue source) and highlights performance variation (which stores excel or lag in specific categories like Laptops vs. Tablets), allowing for insights not possible with simple averages or totals.</t>
  </si>
  <si>
    <t>Actionable business strategies based on my analysis:</t>
  </si>
  <si>
    <t>1. Marketing Strategy: Predictable Growth through Consistent Uplift 
The sales data is remarkably stable and predictable, with nearly all results 94% falling within a narrow, measurable range. This stability is our greatest marketing asset, as it guarantees a reliable Return on Investment (ROI) for every dollar we spend.The current focus shouldn't be on fixing rare low-sales days, but on consistently lifting the overall performance. We need to shift the average network sales from Rs. 1.178Cr up to the Rs. 1.33Cr level.
Action: Launch a sustained, year-round campaign focused on increasing the Average Transaction Value (ATV) across all store locations. This consistent effort is designed to capitalize on our predictable market, ensuring our marketing investment drives a measurable, network-wide boost to the Mean sales figure.
2. Stocking Strategy: Capital-Efficient Inventory Management
The low variability in our sales forecasts means we face minimal risk of a sudden, unexpected spike in demand. This insight, combined with the fact that Smartphones and Laptops are the undeniable revenue engines, allows us to optimize our inventory and free up capital.
Action: We can safely reduce the safety stock levels for our high-value, but stable-selling core inventory (Smartphones and Laptops). This conserves cash flow. Simultaneously, we will strategically overstock high-margin, lower-cost items like Accessories and Tablets. These categories offer the biggest upselling and cross-selling opportunities, and we can't afford to miss a single sale.
Goal: Maximize profit capture by ensuring we always have a high-margin product available for an impulse buy, while simultaneously improving our cash flow by holding less capital in expensive, slower-moving core items.
3. Expansion &amp; Resource Strategy: Replicating Proven Success
Before we commit to opening new stores or significant upgrades, we must learn from our existing successes. By analyzing the average sales across product categories at the store level, we can pinpoint what is working best.
Action: We will identify and rigorously study our top 3 performing stores—our "success models." Every new expansion project must be preceded by a deep dive into the top stores' demographics, location characteristics, and staffing ratios to systematically replicate the factors that drive their performance. Furthermore, all major Capital Expenditure (CapEx) for new equipment or store upgrades will be prioritized for these top-tier stores first.
Goal: De-risk future growth by investing resources only where the ability to generate the highest, most reliable returns has already been demonstrated.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</si>
</sst>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0.0000"/>
    <numFmt numFmtId="166" formatCode="0.0000000"/>
  </numFmts>
  <fonts count="8">
    <font>
      <sz val="11.0"/>
      <color theme="1"/>
      <name val="Calibri"/>
      <scheme val="minor"/>
    </font>
    <font>
      <b/>
      <color theme="1"/>
      <name val="Calibri"/>
    </font>
    <font>
      <color theme="1"/>
      <name val="Calibri"/>
    </font>
    <font>
      <color theme="1"/>
      <name val="Calibri"/>
      <scheme val="minor"/>
    </font>
    <font>
      <color theme="1"/>
      <name val="Times New Roman"/>
    </font>
    <font>
      <b/>
      <sz val="14.0"/>
      <color rgb="FFFFFFFF"/>
      <name val="Times New Roman"/>
    </font>
    <font>
      <b/>
      <color theme="1"/>
      <name val="Times New Roman"/>
    </font>
    <font/>
  </fonts>
  <fills count="3">
    <fill>
      <patternFill patternType="none"/>
    </fill>
    <fill>
      <patternFill patternType="lightGray"/>
    </fill>
    <fill>
      <patternFill patternType="solid">
        <fgColor rgb="FF1C4587"/>
        <bgColor rgb="FF1C4587"/>
      </patternFill>
    </fill>
  </fills>
  <borders count="13">
    <border/>
    <border>
      <left style="thin">
        <color rgb="FF000000"/>
      </left>
      <right style="thin">
        <color rgb="FF000000"/>
      </right>
      <top style="thin">
        <color rgb="FF000000"/>
      </top>
      <bottom style="thin">
        <color rgb="FF000000"/>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2" numFmtId="0" xfId="0" applyAlignment="1" applyFont="1">
      <alignment shrinkToFit="0" wrapText="1"/>
    </xf>
    <xf borderId="0" fillId="0" fontId="4" numFmtId="0" xfId="0" applyFont="1"/>
    <xf borderId="0" fillId="2" fontId="5" numFmtId="0" xfId="0" applyAlignment="1" applyFill="1" applyFont="1">
      <alignment horizontal="center"/>
    </xf>
    <xf borderId="0" fillId="0" fontId="4" numFmtId="164" xfId="0" applyFont="1" applyNumberFormat="1"/>
    <xf borderId="0" fillId="0" fontId="4" numFmtId="0" xfId="0" applyAlignment="1" applyFont="1">
      <alignment shrinkToFit="0" wrapText="1"/>
    </xf>
    <xf borderId="0" fillId="0" fontId="4" numFmtId="0" xfId="0" applyAlignment="1" applyFont="1">
      <alignment vertical="center"/>
    </xf>
    <xf borderId="0" fillId="0" fontId="4" numFmtId="164" xfId="0" applyAlignment="1" applyFont="1" applyNumberFormat="1">
      <alignment vertical="center"/>
    </xf>
    <xf borderId="0" fillId="0" fontId="4" numFmtId="0" xfId="0" applyAlignment="1" applyFont="1">
      <alignment shrinkToFit="0" vertical="center" wrapText="1"/>
    </xf>
    <xf borderId="0" fillId="0" fontId="6" numFmtId="0" xfId="0" applyAlignment="1" applyFont="1">
      <alignment shrinkToFit="0" vertical="center" wrapText="1"/>
    </xf>
    <xf borderId="0" fillId="0" fontId="4" numFmtId="165" xfId="0" applyFont="1" applyNumberFormat="1"/>
    <xf borderId="0" fillId="0" fontId="4" numFmtId="1" xfId="0" applyFont="1" applyNumberFormat="1"/>
    <xf borderId="0" fillId="0" fontId="4" numFmtId="10" xfId="0" applyFont="1" applyNumberFormat="1"/>
    <xf borderId="0" fillId="0" fontId="6" numFmtId="0" xfId="0" applyFont="1"/>
    <xf borderId="0" fillId="0" fontId="4" numFmtId="166" xfId="0" applyFont="1" applyNumberFormat="1"/>
    <xf borderId="0" fillId="0" fontId="4" numFmtId="2" xfId="0" applyFont="1" applyNumberFormat="1"/>
    <xf borderId="2" fillId="0" fontId="4" numFmtId="0" xfId="0" applyAlignment="1" applyBorder="1" applyFont="1">
      <alignment shrinkToFit="0" wrapText="1"/>
    </xf>
    <xf borderId="3" fillId="0" fontId="7" numFmtId="0" xfId="0" applyBorder="1" applyFont="1"/>
    <xf borderId="4" fillId="0" fontId="7" numFmtId="0" xfId="0" applyBorder="1" applyFont="1"/>
    <xf borderId="5" fillId="0" fontId="4" numFmtId="0" xfId="0" applyBorder="1" applyFont="1"/>
    <xf borderId="6" fillId="0" fontId="4" numFmtId="0" xfId="0" applyAlignment="1" applyBorder="1" applyFont="1">
      <alignment shrinkToFit="0" wrapText="1"/>
    </xf>
    <xf borderId="7" fillId="0" fontId="4" numFmtId="0" xfId="0" applyAlignment="1" applyBorder="1" applyFont="1">
      <alignment shrinkToFit="0" wrapText="1"/>
    </xf>
    <xf borderId="8" fillId="0" fontId="7" numFmtId="0" xfId="0" applyBorder="1" applyFont="1"/>
    <xf borderId="9" fillId="0" fontId="7" numFmtId="0" xfId="0" applyBorder="1" applyFont="1"/>
    <xf borderId="10" fillId="0" fontId="4" numFmtId="0" xfId="0" applyAlignment="1" applyBorder="1" applyFont="1">
      <alignment shrinkToFit="0" wrapText="1"/>
    </xf>
    <xf borderId="11" fillId="0" fontId="7" numFmtId="0" xfId="0" applyBorder="1" applyFont="1"/>
    <xf borderId="12" fillId="0" fontId="7" numFmtId="0" xfId="0" applyBorder="1" applyFont="1"/>
    <xf borderId="2" fillId="0" fontId="4" numFmtId="0" xfId="0" applyAlignment="1" applyBorder="1" applyFont="1">
      <alignment shrinkToFit="0" vertical="center" wrapText="1"/>
    </xf>
    <xf borderId="5" fillId="0" fontId="7" numFmtId="0" xfId="0" applyBorder="1" applyFont="1"/>
    <xf borderId="6" fillId="0" fontId="7" numFmtId="0" xfId="0" applyBorder="1" applyFont="1"/>
    <xf borderId="7"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53</xdr:row>
      <xdr:rowOff>190500</xdr:rowOff>
    </xdr:from>
    <xdr:ext cx="8134350" cy="3838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721" sheet="Dataset"/>
  </cacheSource>
  <cacheFields>
    <cacheField name="Store_ID" numFmtId="0">
      <sharedItems containsSemiMixedTypes="0" containsString="0" containsNumber="1" containsInteger="1">
        <n v="1.0"/>
        <n v="2.0"/>
        <n v="3.0"/>
        <n v="4.0"/>
        <n v="5.0"/>
        <n v="6.0"/>
        <n v="7.0"/>
        <n v="8.0"/>
        <n v="9.0"/>
        <n v="10.0"/>
        <n v="11.0"/>
        <n v="12.0"/>
        <n v="13.0"/>
        <n v="14.0"/>
        <n v="15.0"/>
      </sharedItems>
    </cacheField>
    <cacheField name="Store_Name" numFmtId="0">
      <sharedItems>
        <s v="Store_1"/>
        <s v="Store_2"/>
        <s v="Store_3"/>
        <s v="Store_4"/>
        <s v="Store_5"/>
        <s v="Store_6"/>
        <s v="Store_7"/>
        <s v="Store_8"/>
        <s v="Store_9"/>
        <s v="Store_10"/>
        <s v="Store_11"/>
        <s v="Store_12"/>
        <s v="Store_13"/>
        <s v="Store_14"/>
        <s v="Store_15"/>
      </sharedItems>
    </cacheField>
    <cacheField name="Location" numFmtId="0">
      <sharedItems>
        <s v="Chennai"/>
        <s v="Pune"/>
        <s v="Bangalore"/>
        <s v="Delhi"/>
      </sharedItems>
    </cacheField>
    <cacheField name="Month" numFmtId="0">
      <sharedItems>
        <s v="Jan"/>
        <s v="Feb"/>
        <s v="Mar"/>
        <s v="Apr"/>
        <s v="May"/>
        <s v="Jun"/>
        <s v="Jul"/>
        <s v="Aug"/>
        <s v="Sep"/>
        <s v="Oct"/>
        <s v="Nov"/>
        <s v="Dec"/>
      </sharedItems>
    </cacheField>
    <cacheField name="Product_Category" numFmtId="0">
      <sharedItems>
        <s v="Smartphones"/>
        <s v="Laptops"/>
        <s v="Tablets"/>
        <s v="Accessories"/>
      </sharedItems>
    </cacheField>
    <cacheField name="Units_Sold" numFmtId="0">
      <sharedItems containsSemiMixedTypes="0" containsString="0" containsNumber="1" containsInteger="1">
        <n v="1013.0"/>
        <n v="157.0"/>
        <n v="435.0"/>
        <n v="875.0"/>
        <n v="789.0"/>
        <n v="163.0"/>
        <n v="334.0"/>
        <n v="739.0"/>
        <n v="1054.0"/>
        <n v="180.0"/>
        <n v="201.0"/>
        <n v="876.0"/>
        <n v="1155.0"/>
        <n v="139.0"/>
        <n v="436.0"/>
        <n v="1163.0"/>
        <n v="1092.0"/>
        <n v="170.0"/>
        <n v="328.0"/>
        <n v="688.0"/>
        <n v="1089.0"/>
        <n v="171.0"/>
        <n v="232.0"/>
        <n v="498.0"/>
        <n v="1146.0"/>
        <n v="100.0"/>
        <n v="454.0"/>
        <n v="1090.0"/>
        <n v="840.0"/>
        <n v="242.0"/>
        <n v="235.0"/>
        <n v="1195.0"/>
        <n v="1156.0"/>
        <n v="207.0"/>
        <n v="485.0"/>
        <n v="872.0"/>
        <n v="824.0"/>
        <n v="102.0"/>
        <n v="336.0"/>
        <n v="1063.0"/>
        <n v="973.0"/>
        <n v="161.0"/>
        <n v="251.0"/>
        <n v="1012.0"/>
        <n v="680.0"/>
        <n v="228.0"/>
        <n v="329.0"/>
        <n v="646.0"/>
        <n v="802.0"/>
        <n v="168.0"/>
        <n v="397.0"/>
        <n v="600.0"/>
        <n v="925.0"/>
        <n v="246.0"/>
        <n v="346.0"/>
        <n v="1039.0"/>
        <n v="1072.0"/>
        <n v="106.0"/>
        <n v="311.0"/>
        <n v="703.0"/>
        <n v="1052.0"/>
        <n v="198.0"/>
        <n v="407.0"/>
        <n v="819.0"/>
        <n v="853.0"/>
        <n v="167.0"/>
        <n v="476.0"/>
        <n v="594.0"/>
        <n v="632.0"/>
        <n v="121.0"/>
        <n v="237.0"/>
        <n v="426.0"/>
        <n v="883.0"/>
        <n v="147.0"/>
        <n v="234.0"/>
        <n v="917.0"/>
        <n v="636.0"/>
        <n v="315.0"/>
        <n v="655.0"/>
        <n v="617.0"/>
        <n v="203.0"/>
        <n v="313.0"/>
        <n v="1184.0"/>
        <n v="992.0"/>
        <n v="125.0"/>
        <n v="212.0"/>
        <n v="799.0"/>
        <n v="1070.0"/>
        <n v="185.0"/>
        <n v="385.0"/>
        <n v="741.0"/>
        <n v="653.0"/>
        <n v="159.0"/>
        <n v="204.0"/>
        <n v="749.0"/>
        <n v="868.0"/>
        <n v="428.0"/>
        <n v="1033.0"/>
        <n v="695.0"/>
        <n v="216.0"/>
        <n v="388.0"/>
        <n v="753.0"/>
        <n v="293.0"/>
        <n v="940.0"/>
        <n v="122.0"/>
        <n v="445.0"/>
        <n v="1161.0"/>
        <n v="924.0"/>
        <n v="101.0"/>
        <n v="359.0"/>
        <n v="779.0"/>
        <n v="1026.0"/>
        <n v="173.0"/>
        <n v="484.0"/>
        <n v="1001.0"/>
        <n v="714.0"/>
        <n v="174.0"/>
        <n v="416.0"/>
        <n v="856.0"/>
        <n v="698.0"/>
        <n v="136.0"/>
        <n v="382.0"/>
        <n v="672.0"/>
        <n v="199.0"/>
        <n v="432.0"/>
        <n v="1134.0"/>
        <n v="1105.0"/>
        <n v="124.0"/>
        <n v="252.0"/>
        <n v="441.0"/>
        <n v="997.0"/>
        <n v="275.0"/>
        <n v="629.0"/>
        <n v="767.0"/>
        <n v="182.0"/>
        <n v="344.0"/>
        <n v="844.0"/>
        <n v="766.0"/>
        <n v="240.0"/>
        <n v="325.0"/>
        <n v="747.0"/>
        <n v="790.0"/>
        <n v="243.0"/>
        <n v="479.0"/>
        <n v="245.0"/>
        <n v="213.0"/>
        <n v="411.0"/>
        <n v="957.0"/>
        <n v="191.0"/>
        <n v="335.0"/>
        <n v="440.0"/>
        <n v="1101.0"/>
        <n v="452.0"/>
        <n v="849.0"/>
        <n v="841.0"/>
        <n v="217.0"/>
        <n v="423.0"/>
        <n v="1088.0"/>
        <n v="704.0"/>
        <n v="105.0"/>
        <n v="396.0"/>
        <n v="857.0"/>
        <n v="684.0"/>
        <n v="103.0"/>
        <n v="487.0"/>
        <n v="1170.0"/>
        <n v="867.0"/>
        <n v="184.0"/>
        <n v="274.0"/>
        <n v="705.0"/>
        <n v="934.0"/>
        <n v="178.0"/>
        <n v="446.0"/>
        <n v="537.0"/>
        <n v="929.0"/>
        <n v="225.0"/>
        <n v="439.0"/>
        <n v="494.0"/>
        <n v="1119.0"/>
        <n v="195.0"/>
        <n v="292.0"/>
        <n v="1188.0"/>
        <n v="1133.0"/>
        <n v="177.0"/>
        <n v="272.0"/>
        <n v="455.0"/>
        <n v="647.0"/>
        <n v="379.0"/>
        <n v="873.0"/>
        <n v="677.0"/>
        <n v="155.0"/>
        <n v="202.0"/>
        <n v="673.0"/>
        <n v="614.0"/>
        <n v="138.0"/>
        <n v="430.0"/>
        <n v="1179.0"/>
        <n v="210.0"/>
        <n v="310.0"/>
        <n v="881.0"/>
        <n v="220.0"/>
        <n v="349.0"/>
        <n v="949.0"/>
        <n v="135.0"/>
        <n v="205.0"/>
        <n v="1045.0"/>
        <n v="1103.0"/>
        <n v="372.0"/>
        <n v="1186.0"/>
        <n v="1131.0"/>
        <n v="338.0"/>
        <n v="860.0"/>
        <n v="200.0"/>
        <n v="464.0"/>
        <n v="1005.0"/>
        <n v="1180.0"/>
        <n v="175.0"/>
        <n v="1178.0"/>
        <n v="869.0"/>
        <n v="261.0"/>
        <n v="1125.0"/>
        <n v="162.0"/>
        <n v="352.0"/>
        <n v="1015.0"/>
        <n v="638.0"/>
        <n v="114.0"/>
        <n v="488.0"/>
        <n v="1010.0"/>
        <n v="196.0"/>
        <n v="358.0"/>
        <n v="414.0"/>
        <n v="194.0"/>
        <n v="491.0"/>
        <n v="1149.0"/>
        <n v="206.0"/>
        <n v="340.0"/>
        <n v="755.0"/>
        <n v="732.0"/>
        <n v="250.0"/>
        <n v="806.0"/>
        <n v="1004.0"/>
        <n v="254.0"/>
        <n v="708.0"/>
        <n v="1035.0"/>
        <n v="493.0"/>
        <n v="928.0"/>
        <n v="778.0"/>
        <n v="187.0"/>
        <n v="683.0"/>
        <n v="248.0"/>
        <n v="834.0"/>
        <n v="129.0"/>
        <n v="218.0"/>
        <n v="513.0"/>
        <n v="863.0"/>
        <n v="223.0"/>
        <n v="712.0"/>
        <n v="1042.0"/>
        <n v="166.0"/>
        <n v="291.0"/>
        <n v="477.0"/>
        <n v="360.0"/>
        <n v="913.0"/>
        <n v="1122.0"/>
        <n v="239.0"/>
        <n v="492.0"/>
        <n v="899.0"/>
        <n v="963.0"/>
        <n v="197.0"/>
        <n v="616.0"/>
        <n v="226.0"/>
        <n v="854.0"/>
        <n v="1000.0"/>
        <n v="392.0"/>
        <n v="548.0"/>
        <n v="610.0"/>
        <n v="153.0"/>
        <n v="866.0"/>
        <n v="172.0"/>
        <n v="424.0"/>
        <n v="730.0"/>
        <n v="148.0"/>
        <n v="256.0"/>
        <n v="615.0"/>
        <n v="467.0"/>
        <n v="158.0"/>
        <n v="281.0"/>
        <n v="787.0"/>
        <n v="415.0"/>
        <n v="707.0"/>
        <n v="222.0"/>
        <n v="1096.0"/>
        <n v="838.0"/>
        <n v="183.0"/>
        <n v="376.0"/>
        <n v="723.0"/>
        <n v="892.0"/>
        <n v="386.0"/>
        <n v="701.0"/>
        <n v="661.0"/>
        <n v="262.0"/>
        <n v="506.0"/>
        <n v="817.0"/>
        <n v="108.0"/>
        <n v="461.0"/>
        <n v="602.0"/>
        <n v="188.0"/>
        <n v="297.0"/>
        <n v="931.0"/>
        <n v="238.0"/>
        <n v="323.0"/>
        <n v="888.0"/>
        <n v="368.0"/>
        <n v="1021.0"/>
        <n v="130.0"/>
        <n v="145.0"/>
        <n v="764.0"/>
        <n v="1130.0"/>
        <n v="1123.0"/>
        <n v="219.0"/>
        <n v="469.0"/>
        <n v="406.0"/>
        <n v="425.0"/>
        <n v="556.0"/>
        <n v="729.0"/>
        <n v="483.0"/>
        <n v="362.0"/>
        <n v="670.0"/>
        <n v="1138.0"/>
        <n v="149.0"/>
        <n v="380.0"/>
        <n v="835.0"/>
        <n v="316.0"/>
        <n v="1120.0"/>
        <n v="131.0"/>
        <n v="613.0"/>
        <n v="1152.0"/>
        <n v="247.0"/>
        <n v="988.0"/>
        <n v="702.0"/>
        <n v="322.0"/>
        <n v="663.0"/>
        <n v="221.0"/>
        <n v="413.0"/>
        <n v="611.0"/>
        <n v="437.0"/>
        <n v="1094.0"/>
        <n v="1193.0"/>
        <n v="134.0"/>
        <n v="558.0"/>
        <n v="623.0"/>
        <n v="119.0"/>
        <n v="249.0"/>
        <n v="516.0"/>
        <n v="1177.0"/>
        <n v="214.0"/>
        <n v="324.0"/>
        <n v="1136.0"/>
        <n v="113.0"/>
        <n v="780.0"/>
        <n v="244.0"/>
        <n v="227.0"/>
        <n v="823.0"/>
        <n v="900.0"/>
        <n v="675.0"/>
        <n v="1112.0"/>
        <n v="403.0"/>
        <n v="555.0"/>
        <n v="850.0"/>
        <n v="458.0"/>
        <n v="805.0"/>
        <n v="142.0"/>
        <n v="894.0"/>
        <n v="1027.0"/>
        <n v="151.0"/>
        <n v="433.0"/>
        <n v="1175.0"/>
        <n v="154.0"/>
        <n v="987.0"/>
        <n v="944.0"/>
        <n v="241.0"/>
        <n v="268.0"/>
        <n v="301.0"/>
        <n v="993.0"/>
        <n v="878.0"/>
        <n v="412.0"/>
        <n v="904.0"/>
        <n v="110.0"/>
        <n v="309.0"/>
        <n v="1049.0"/>
        <n v="111.0"/>
        <n v="742.0"/>
        <n v="1097.0"/>
        <n v="1182.0"/>
        <n v="740.0"/>
        <n v="505.0"/>
        <n v="601.0"/>
        <n v="273.0"/>
        <n v="640.0"/>
        <n v="897.0"/>
        <n v="517.0"/>
        <n v="369.0"/>
        <n v="692.0"/>
        <n v="1031.0"/>
        <n v="277.0"/>
        <n v="719.0"/>
        <n v="1196.0"/>
        <n v="123.0"/>
        <n v="1020.0"/>
        <n v="952.0"/>
        <n v="169.0"/>
        <n v="395.0"/>
        <n v="827.0"/>
        <n v="748.0"/>
        <n v="143.0"/>
        <n v="870.0"/>
        <n v="1114.0"/>
        <n v="320.0"/>
        <n v="855.0"/>
        <n v="760.0"/>
        <n v="350.0"/>
        <n v="1160.0"/>
        <n v="342.0"/>
        <n v="1061.0"/>
        <n v="1187.0"/>
        <n v="865.0"/>
        <n v="991.0"/>
        <n v="295.0"/>
        <n v="846.0"/>
        <n v="642.0"/>
        <n v="104.0"/>
        <n v="465.0"/>
        <n v="682.0"/>
        <n v="459.0"/>
        <n v="1019.0"/>
        <n v="215.0"/>
        <n v="1197.0"/>
        <n v="264.0"/>
        <n v="772.0"/>
        <n v="141.0"/>
        <n v="312.0"/>
        <n v="500.0"/>
        <n v="116.0"/>
        <n v="990.0"/>
        <n v="862.0"/>
        <n v="687.0"/>
        <n v="825.0"/>
        <n v="521.0"/>
        <n v="126.0"/>
        <n v="287.0"/>
        <n v="752.0"/>
        <n v="618.0"/>
        <n v="343.0"/>
        <n v="503.0"/>
        <n v="165.0"/>
        <n v="713.0"/>
        <n v="808.0"/>
        <n v="300.0"/>
        <n v="935.0"/>
        <n v="982.0"/>
        <n v="231.0"/>
        <n v="918.0"/>
        <n v="545.0"/>
        <n v="1109.0"/>
        <n v="160.0"/>
        <n v="962.0"/>
        <n v="1025.0"/>
        <n v="373.0"/>
        <n v="1007.0"/>
        <n v="381.0"/>
        <n v="627.0"/>
        <n v="598.0"/>
        <n v="1091.0"/>
        <n v="120.0"/>
        <n v="330.0"/>
        <n v="770.0"/>
        <n v="983.0"/>
        <n v="132.0"/>
        <n v="260.0"/>
        <n v="822.0"/>
        <n v="1128.0"/>
        <n v="543.0"/>
        <n v="685.0"/>
        <n v="391.0"/>
        <n v="676.0"/>
        <n v="478.0"/>
        <n v="706.0"/>
        <n v="785.0"/>
        <n v="986.0"/>
        <n v="659.0"/>
        <n v="965.0"/>
        <n v="905.0"/>
        <n v="353.0"/>
        <n v="1085.0"/>
        <n v="150.0"/>
        <n v="146.0"/>
        <n v="400.0"/>
        <n v="542.0"/>
        <n v="826.0"/>
        <n v="451.0"/>
        <n v="650.0"/>
      </sharedItems>
    </cacheField>
    <cacheField name="Unit_Price_Rs" numFmtId="0">
      <sharedItems containsSemiMixedTypes="0" containsString="0" containsNumber="1">
        <n v="5183.82"/>
        <n v="21079.86"/>
        <n v="6706.67"/>
        <n v="1157.22"/>
        <n v="5344.42"/>
        <n v="20885.62"/>
        <n v="6519.92"/>
        <n v="1294.74"/>
        <n v="5526.05"/>
        <n v="21798.5"/>
        <n v="6286.62"/>
        <n v="1164.69"/>
        <n v="5447.69"/>
        <n v="21637.09"/>
        <n v="6932.11"/>
        <n v="1146.19"/>
        <n v="5364.82"/>
        <n v="21191.93"/>
        <n v="6874.64"/>
        <n v="1288.77"/>
        <n v="5132.16"/>
        <n v="21252.63"/>
        <n v="6646.68"/>
        <n v="1158.96"/>
        <n v="5092.43"/>
        <n v="21439.36"/>
        <n v="6515.54"/>
        <n v="1233.29"/>
        <n v="5318.35"/>
        <n v="19909.94"/>
        <n v="6740.73"/>
        <n v="1260.81"/>
        <n v="5177.94"/>
        <n v="21247.07"/>
        <n v="6596.78"/>
        <n v="1275.08"/>
        <n v="5469.98"/>
        <n v="20450.94"/>
        <n v="7283.53"/>
        <n v="1184.67"/>
        <n v="5360.26"/>
        <n v="20333.19"/>
        <n v="6945.36"/>
        <n v="1094.54"/>
        <n v="5211.65"/>
        <n v="21432.67"/>
        <n v="5950.37"/>
        <n v="1348.03"/>
        <n v="5035.62"/>
        <n v="20965.4"/>
        <n v="7065.42"/>
        <n v="1161.05"/>
        <n v="5457.93"/>
        <n v="21845.19"/>
        <n v="6483.91"/>
        <n v="1173.01"/>
        <n v="5341.13"/>
        <n v="20345.21"/>
        <n v="7109.17"/>
        <n v="1453.92"/>
        <n v="5351.98"/>
        <n v="22125.46"/>
        <n v="6885.29"/>
        <n v="1321.71"/>
        <n v="5334.97"/>
        <n v="20526.52"/>
        <n v="6561.24"/>
        <n v="1088.75"/>
        <n v="5426.85"/>
        <n v="23948.88"/>
        <n v="6696.57"/>
        <n v="1241.34"/>
        <n v="5470.02"/>
        <n v="21815.47"/>
        <n v="6696.53"/>
        <n v="1219.06"/>
        <n v="5275.17"/>
        <n v="22092.27"/>
        <n v="6445.96"/>
        <n v="1048.52"/>
        <n v="5442.02"/>
        <n v="21573.98"/>
        <n v="6717.46"/>
        <n v="1085.7"/>
        <n v="5108.2"/>
        <n v="22605.6"/>
        <n v="6345.02"/>
        <n v="1249.5"/>
        <n v="5313.67"/>
        <n v="21172.47"/>
        <n v="6163.45"/>
        <n v="1235.73"/>
        <n v="4901.69"/>
        <n v="21840.82"/>
        <n v="7063.12"/>
        <n v="1184.88"/>
        <n v="5278.56"/>
        <n v="21111.03"/>
        <n v="7234.39"/>
        <n v="1132.26"/>
        <n v="5653.09"/>
        <n v="21823.99"/>
        <n v="6813.19"/>
        <n v="1365.14"/>
        <n v="5553.38"/>
        <n v="20933.86"/>
        <n v="6833.15"/>
        <n v="1277.46"/>
        <n v="5041.01"/>
        <n v="21415.91"/>
        <n v="6567.99"/>
        <n v="1213.07"/>
        <n v="5494.53"/>
        <n v="22735.58"/>
        <n v="6734.06"/>
        <n v="1266.21"/>
        <n v="5269.64"/>
        <n v="21970.65"/>
        <n v="6554.07"/>
        <n v="1220.76"/>
        <n v="5175.55"/>
        <n v="21215.61"/>
        <n v="6511.09"/>
        <n v="1287.68"/>
        <n v="4942.47"/>
        <n v="20523.54"/>
        <n v="6947.62"/>
        <n v="1281.35"/>
        <n v="5195.36"/>
        <n v="22259.31"/>
        <n v="6576.61"/>
        <n v="1298.4"/>
        <n v="5136.36"/>
        <n v="23173.91"/>
        <n v="6887.24"/>
        <n v="1262.83"/>
        <n v="4882.0"/>
        <n v="22916.35"/>
        <n v="6966.7"/>
        <n v="1249.61"/>
        <n v="5205.79"/>
        <n v="21685.64"/>
        <n v="6500.73"/>
        <n v="1336.01"/>
        <n v="5471.53"/>
        <n v="21372.05"/>
        <n v="6796.82"/>
        <n v="1117.28"/>
        <n v="5130.61"/>
        <n v="21463.8"/>
        <n v="6713.68"/>
        <n v="1238.92"/>
        <n v="5266.39"/>
        <n v="21728.14"/>
        <n v="6430.83"/>
        <n v="1352.58"/>
        <n v="5737.96"/>
        <n v="20853.36"/>
        <n v="7009.78"/>
        <n v="1018.99"/>
        <n v="5645.55"/>
        <n v="20305.92"/>
        <n v="6663.16"/>
        <n v="1264.89"/>
        <n v="5053.65"/>
        <n v="21651.67"/>
        <n v="6515.26"/>
        <n v="1343.62"/>
        <n v="4981.11"/>
        <n v="21020.5"/>
        <n v="7154.87"/>
        <n v="1231.25"/>
        <n v="5086.48"/>
        <n v="21386.1"/>
        <n v="6699.51"/>
        <n v="1157.4"/>
        <n v="5187.35"/>
        <n v="23531.41"/>
        <n v="6569.9"/>
        <n v="1165.77"/>
        <n v="5477.21"/>
        <n v="21390.34"/>
        <n v="7271.77"/>
        <n v="1222.76"/>
        <n v="5325.61"/>
        <n v="21114.93"/>
        <n v="6845.53"/>
        <n v="993.75"/>
        <n v="5412.05"/>
        <n v="20770.3"/>
        <n v="6722.81"/>
        <n v="1235.3"/>
        <n v="5013.18"/>
        <n v="21346.77"/>
        <n v="6687.51"/>
        <n v="1109.99"/>
        <n v="5277.53"/>
        <n v="21323.22"/>
        <n v="6535.82"/>
        <n v="1077.19"/>
        <n v="5628.99"/>
        <n v="21300.77"/>
        <n v="6708.59"/>
        <n v="1296.86"/>
        <n v="5358.73"/>
        <n v="21108.98"/>
        <n v="6722.58"/>
        <n v="1112.5"/>
        <n v="5568.62"/>
        <n v="20453.87"/>
        <n v="6567.85"/>
        <n v="1358.2"/>
        <n v="5016.96"/>
        <n v="21976.32"/>
        <n v="6514.87"/>
        <n v="1074.12"/>
        <n v="5309.7"/>
        <n v="20835.24"/>
        <n v="6817.08"/>
        <n v="1191.51"/>
        <n v="5463.17"/>
        <n v="21953.4"/>
        <n v="6501.21"/>
        <n v="1257.06"/>
        <n v="5208.28"/>
        <n v="21254.63"/>
        <n v="6640.61"/>
        <n v="1247.68"/>
        <n v="5501.26"/>
        <n v="21038.49"/>
        <n v="6483.0"/>
        <n v="1443.38"/>
        <n v="5374.23"/>
        <n v="21016.81"/>
        <n v="6846.41"/>
        <n v="1358.01"/>
        <n v="5403.22"/>
        <n v="21880.39"/>
        <n v="6961.34"/>
        <n v="1167.4"/>
        <n v="5350.04"/>
        <n v="22144.59"/>
        <n v="6336.85"/>
        <n v="1038.66"/>
        <n v="5004.28"/>
        <n v="22415.0"/>
        <n v="6989.78"/>
        <n v="1208.21"/>
        <n v="5601.95"/>
        <n v="21821.63"/>
        <n v="6466.17"/>
        <n v="980.35"/>
        <n v="4785.41"/>
        <n v="21191.57"/>
        <n v="6915.43"/>
        <n v="1356.76"/>
        <n v="5218.61"/>
        <n v="20338.24"/>
        <n v="6960.35"/>
        <n v="1106.35"/>
        <n v="5343.37"/>
        <n v="21853.69"/>
        <n v="6755.17"/>
        <n v="1210.01"/>
        <n v="5219.51"/>
        <n v="21156.69"/>
        <n v="6861.33"/>
        <n v="1064.13"/>
        <n v="5395.06"/>
        <n v="22555.07"/>
        <n v="6313.01"/>
        <n v="1070.49"/>
        <n v="5394.34"/>
        <n v="20276.19"/>
        <n v="7254.69"/>
        <n v="1312.66"/>
        <n v="5755.33"/>
        <n v="20196.56"/>
        <n v="6381.92"/>
        <n v="1088.21"/>
        <n v="5185.27"/>
        <n v="21062.51"/>
        <n v="7116.57"/>
        <n v="934.06"/>
        <n v="5018.5"/>
        <n v="20877.75"/>
        <n v="6845.59"/>
        <n v="1122.73"/>
        <n v="5814.27"/>
        <n v="21619.2"/>
        <n v="6594.8"/>
        <n v="1177.08"/>
        <n v="5244.84"/>
        <n v="20653.97"/>
        <n v="6797.84"/>
        <n v="1074.89"/>
        <n v="5159.13"/>
        <n v="20373.23"/>
        <n v="7074.01"/>
        <n v="983.01"/>
        <n v="5494.36"/>
        <n v="21475.23"/>
        <n v="6960.92"/>
        <n v="1305.71"/>
        <n v="5091.1"/>
        <n v="21322.08"/>
        <n v="6736.19"/>
        <n v="1331.21"/>
        <n v="5286.2"/>
        <n v="19437.43"/>
        <n v="7186.16"/>
        <n v="1357.05"/>
        <n v="4931.83"/>
        <n v="20476.34"/>
        <n v="6756.03"/>
        <n v="1124.46"/>
        <n v="5568.26"/>
        <n v="20792.98"/>
        <n v="6173.56"/>
        <n v="1187.61"/>
        <n v="5374.92"/>
        <n v="20660.94"/>
        <n v="7196.49"/>
        <n v="1129.57"/>
        <n v="5238.44"/>
        <n v="20972.88"/>
        <n v="6304.2"/>
        <n v="1177.38"/>
        <n v="5557.25"/>
        <n v="22349.77"/>
        <n v="6828.89"/>
        <n v="1220.77"/>
        <n v="5083.79"/>
        <n v="22342.52"/>
        <n v="7106.99"/>
        <n v="928.75"/>
        <n v="5503.78"/>
        <n v="21459.9"/>
        <n v="6504.82"/>
        <n v="1304.35"/>
        <n v="5316.46"/>
        <n v="22352.38"/>
        <n v="6544.81"/>
        <n v="1340.93"/>
        <n v="5138.79"/>
        <n v="21339.37"/>
        <n v="6609.89"/>
        <n v="1119.52"/>
        <n v="5293.06"/>
        <n v="21687.37"/>
        <n v="6650.28"/>
        <n v="1117.44"/>
        <n v="5075.46"/>
        <n v="21805.93"/>
        <n v="6885.44"/>
        <n v="1149.63"/>
        <n v="5393.71"/>
        <n v="21906.55"/>
        <n v="6587.98"/>
        <n v="1082.64"/>
        <n v="5189.56"/>
        <n v="22006.35"/>
        <n v="6026.3"/>
        <n v="1112.16"/>
        <n v="21349.94"/>
        <n v="6286.2"/>
        <n v="1126.91"/>
        <n v="5438.95"/>
        <n v="20651.34"/>
        <n v="6972.25"/>
        <n v="1203.59"/>
        <n v="5348.0"/>
        <n v="21744.44"/>
        <n v="6349.33"/>
        <n v="1125.75"/>
        <n v="5338.97"/>
        <n v="21373.06"/>
        <n v="7061.95"/>
        <n v="1118.31"/>
        <n v="5254.86"/>
        <n v="21502.73"/>
        <n v="6292.04"/>
        <n v="1274.63"/>
        <n v="5537.28"/>
        <n v="21310.92"/>
        <n v="6752.66"/>
        <n v="1240.85"/>
        <n v="5326.59"/>
        <n v="20939.9"/>
        <n v="6532.32"/>
        <n v="1237.72"/>
        <n v="5273.79"/>
        <n v="19871.81"/>
        <n v="6331.04"/>
        <n v="1182.23"/>
        <n v="5155.31"/>
        <n v="22084.92"/>
        <n v="6829.25"/>
        <n v="1224.33"/>
        <n v="5290.88"/>
        <n v="21694.67"/>
        <n v="6722.26"/>
        <n v="1177.06"/>
        <n v="5368.55"/>
        <n v="21865.4"/>
        <n v="6651.51"/>
        <n v="1065.87"/>
        <n v="5373.1"/>
        <n v="20236.22"/>
        <n v="6263.97"/>
        <n v="1396.53"/>
        <n v="5112.6"/>
        <n v="22795.04"/>
        <n v="6811.64"/>
        <n v="1247.89"/>
        <n v="5299.28"/>
        <n v="20573.31"/>
        <n v="6762.51"/>
        <n v="995.83"/>
        <n v="5339.08"/>
        <n v="20649.89"/>
        <n v="6717.89"/>
        <n v="1135.31"/>
        <n v="5403.61"/>
        <n v="22546.39"/>
        <n v="7322.58"/>
        <n v="1131.08"/>
        <n v="5169.72"/>
        <n v="21112.89"/>
        <n v="6390.53"/>
        <n v="1147.07"/>
        <n v="5401.2"/>
        <n v="19902.07"/>
        <n v="6622.79"/>
        <n v="1033.14"/>
        <n v="4927.13"/>
        <n v="20778.72"/>
        <n v="6767.34"/>
        <n v="1304.71"/>
        <n v="5563.39"/>
        <n v="21851.44"/>
        <n v="6859.86"/>
        <n v="1074.62"/>
        <n v="5631.4"/>
        <n v="20267.67"/>
        <n v="6692.33"/>
        <n v="1317.27"/>
        <n v="5662.34"/>
        <n v="22207.78"/>
        <n v="6942.19"/>
        <n v="1075.42"/>
        <n v="5146.61"/>
        <n v="20891.88"/>
        <n v="6998.88"/>
        <n v="1150.62"/>
        <n v="5151.6"/>
        <n v="20456.28"/>
        <n v="7064.35"/>
        <n v="1191.05"/>
        <n v="5234.62"/>
        <n v="21059.24"/>
        <n v="6328.8"/>
        <n v="1262.92"/>
        <n v="5123.78"/>
        <n v="22792.77"/>
        <n v="6974.9"/>
        <n v="1234.65"/>
        <n v="5086.89"/>
        <n v="21573.44"/>
        <n v="6480.19"/>
        <n v="1250.54"/>
        <n v="5261.86"/>
        <n v="21673.95"/>
        <n v="6900.54"/>
        <n v="1148.31"/>
        <n v="5521.11"/>
        <n v="22449.62"/>
        <n v="6144.72"/>
        <n v="1294.35"/>
        <n v="5233.1"/>
        <n v="21664.95"/>
        <n v="7056.84"/>
        <n v="1077.24"/>
        <n v="5557.95"/>
        <n v="21290.88"/>
        <n v="6371.12"/>
        <n v="1055.99"/>
        <n v="4869.75"/>
        <n v="22914.64"/>
        <n v="7080.75"/>
        <n v="1269.77"/>
        <n v="5209.15"/>
        <n v="21484.05"/>
        <n v="6655.0"/>
        <n v="1036.57"/>
        <n v="5335.88"/>
        <n v="22956.62"/>
        <n v="6624.19"/>
        <n v="1239.21"/>
        <n v="5149.21"/>
        <n v="21275.46"/>
        <n v="6717.34"/>
        <n v="1276.97"/>
        <n v="5179.34"/>
        <n v="20230.55"/>
        <n v="6537.9"/>
        <n v="1251.35"/>
        <n v="5271.23"/>
        <n v="22136.97"/>
        <n v="6841.59"/>
        <n v="1213.92"/>
        <n v="5159.6"/>
        <n v="20969.68"/>
        <n v="6617.4"/>
        <n v="1275.14"/>
        <n v="5387.11"/>
        <n v="22213.81"/>
        <n v="6565.86"/>
        <n v="1141.39"/>
        <n v="5087.32"/>
        <n v="20907.96"/>
        <n v="6535.87"/>
        <n v="1216.36"/>
        <n v="5176.44"/>
        <n v="23017.2"/>
        <n v="6205.28"/>
        <n v="1304.57"/>
        <n v="4973.7"/>
        <n v="22764.76"/>
        <n v="7071.56"/>
        <n v="1178.51"/>
        <n v="5426.26"/>
        <n v="20254.71"/>
        <n v="6250.12"/>
        <n v="1067.04"/>
        <n v="5135.01"/>
        <n v="21629.15"/>
        <n v="6233.2"/>
        <n v="1017.81"/>
        <n v="5081.54"/>
        <n v="21246.87"/>
        <n v="6505.4"/>
        <n v="1227.34"/>
        <n v="5331.09"/>
        <n v="23472.59"/>
        <n v="6464.2"/>
        <n v="1066.88"/>
        <n v="5338.67"/>
        <n v="21422.98"/>
        <n v="6724.55"/>
        <n v="1190.11"/>
        <n v="5413.69"/>
        <n v="21979.68"/>
        <n v="6860.95"/>
        <n v="1110.15"/>
        <n v="5254.97"/>
        <n v="21658.06"/>
        <n v="6786.08"/>
        <n v="1188.44"/>
        <n v="5490.16"/>
        <n v="18789.26"/>
        <n v="6897.26"/>
        <n v="1214.21"/>
        <n v="5606.15"/>
        <n v="22475.01"/>
        <n v="6676.28"/>
        <n v="1051.97"/>
        <n v="5158.17"/>
        <n v="22183.57"/>
        <n v="6317.69"/>
        <n v="1262.61"/>
        <n v="4789.22"/>
        <n v="22247.46"/>
        <n v="6547.87"/>
        <n v="1082.9"/>
        <n v="5253.47"/>
        <n v="20662.82"/>
        <n v="6980.57"/>
        <n v="5275.53"/>
        <n v="21151.87"/>
        <n v="6691.81"/>
        <n v="1106.67"/>
        <n v="4839.46"/>
        <n v="21144.04"/>
        <n v="7042.7"/>
        <n v="1087.92"/>
        <n v="5731.46"/>
        <n v="21015.43"/>
        <n v="6837.99"/>
        <n v="1132.23"/>
        <n v="5347.39"/>
        <n v="21136.14"/>
        <n v="6469.27"/>
        <n v="972.81"/>
        <n v="5177.82"/>
        <n v="22455.63"/>
        <n v="6998.81"/>
        <n v="1124.32"/>
        <n v="5127.72"/>
        <n v="20795.63"/>
        <n v="7136.69"/>
        <n v="1379.93"/>
        <n v="5227.01"/>
        <n v="20828.63"/>
        <n v="6633.62"/>
        <n v="1172.32"/>
        <n v="5467.51"/>
        <n v="20849.08"/>
        <n v="6898.86"/>
        <n v="1317.35"/>
        <n v="5281.13"/>
        <n v="21431.29"/>
        <n v="6407.88"/>
        <n v="1022.74"/>
        <n v="5500.39"/>
        <n v="21664.02"/>
        <n v="6878.99"/>
        <n v="1276.95"/>
        <n v="5519.98"/>
        <n v="20813.52"/>
        <n v="7191.68"/>
        <n v="1462.51"/>
        <n v="5454.77"/>
        <n v="22397.74"/>
        <n v="6613.72"/>
        <n v="1105.84"/>
        <n v="5016.33"/>
        <n v="20091.35"/>
        <n v="6575.14"/>
        <n v="1081.92"/>
        <n v="5192.46"/>
        <n v="21742.76"/>
        <n v="7007.22"/>
        <n v="1259.25"/>
        <n v="5523.18"/>
        <n v="20980.59"/>
        <n v="6570.46"/>
        <n v="1111.4"/>
        <n v="5602.69"/>
        <n v="22004.65"/>
        <n v="7066.31"/>
        <n v="1258.21"/>
        <n v="5539.73"/>
        <n v="19950.11"/>
        <n v="6541.67"/>
        <n v="1277.14"/>
        <n v="5217.72"/>
        <n v="21923.0"/>
        <n v="6908.16"/>
        <n v="1189.72"/>
        <n v="4725.74"/>
        <n v="21371.28"/>
        <n v="6400.48"/>
        <n v="1230.18"/>
        <n v="5279.97"/>
        <n v="21337.06"/>
        <n v="7048.07"/>
        <n v="1176.07"/>
        <n v="5510.61"/>
        <n v="23126.64"/>
        <n v="6774.12"/>
        <n v="1208.73"/>
        <n v="5408.49"/>
        <n v="22503.49"/>
        <n v="6448.68"/>
        <n v="1261.08"/>
        <n v="5135.38"/>
        <n v="21368.66"/>
        <n v="6552.41"/>
        <n v="1060.34"/>
        <n v="5032.43"/>
        <n v="21941.25"/>
        <n v="6362.71"/>
        <n v="1265.02"/>
        <n v="5488.9"/>
        <n v="20948.62"/>
        <n v="6695.92"/>
        <n v="1345.74"/>
        <n v="5459.09"/>
        <n v="22147.16"/>
        <n v="7174.78"/>
        <n v="1237.99"/>
        <n v="5043.41"/>
        <n v="20762.5"/>
        <n v="6572.09"/>
        <n v="1314.84"/>
        <n v="4933.85"/>
        <n v="21660.52"/>
        <n v="5872.12"/>
        <n v="1306.34"/>
        <n v="5457.78"/>
        <n v="21282.47"/>
        <n v="6789.39"/>
        <n v="1276.09"/>
        <n v="5304.84"/>
        <n v="22629.78"/>
        <n v="6423.25"/>
        <n v="1317.37"/>
        <n v="5377.98"/>
        <n v="20882.1"/>
        <n v="6758.32"/>
        <n v="1164.68"/>
        <n v="5661.58"/>
        <n v="21780.63"/>
        <n v="6921.03"/>
        <n v="1143.3"/>
        <n v="5180.33"/>
        <n v="22812.84"/>
        <n v="7065.15"/>
        <n v="1352.13"/>
        <n v="5374.49"/>
        <n v="20867.95"/>
        <n v="1162.19"/>
        <n v="5199.37"/>
        <n v="22655.2"/>
        <n v="6336.37"/>
        <n v="1283.42"/>
      </sharedItems>
    </cacheField>
    <cacheField name="Total_Sales_Rs" numFmtId="0">
      <sharedItems containsSemiMixedTypes="0" containsString="0" containsNumber="1" containsInteger="1">
        <n v="5251214.0"/>
        <n v="3309539.0"/>
        <n v="2917400.0"/>
        <n v="1012568.0"/>
        <n v="4216744.0"/>
        <n v="3404356.0"/>
        <n v="2177655.0"/>
        <n v="956816.0"/>
        <n v="5824452.0"/>
        <n v="3923729.0"/>
        <n v="1263610.0"/>
        <n v="1020267.0"/>
        <n v="6292086.0"/>
        <n v="3007556.0"/>
        <n v="3022400.0"/>
        <n v="1333014.0"/>
        <n v="5858380.0"/>
        <n v="3602629.0"/>
        <n v="2254881.0"/>
        <n v="886677.0"/>
        <n v="5588918.0"/>
        <n v="3634200.0"/>
        <n v="1542030.0"/>
        <n v="577163.0"/>
        <n v="5835929.0"/>
        <n v="2143936.0"/>
        <n v="2958054.0"/>
        <n v="1344285.0"/>
        <n v="4467416.0"/>
        <n v="4818207.0"/>
        <n v="1584071.0"/>
        <n v="1506667.0"/>
        <n v="5985694.0"/>
        <n v="4398143.0"/>
        <n v="3199436.0"/>
        <n v="1111869.0"/>
        <n v="4507267.0"/>
        <n v="2085996.0"/>
        <n v="2447268.0"/>
        <n v="1259300.0"/>
        <n v="5215537.0"/>
        <n v="3273643.0"/>
        <n v="1743286.0"/>
        <n v="1107674.0"/>
        <n v="3543920.0"/>
        <n v="4886648.0"/>
        <n v="1957672.0"/>
        <n v="870829.0"/>
        <n v="4038571.0"/>
        <n v="3522188.0"/>
        <n v="2804970.0"/>
        <n v="696633.0"/>
        <n v="5048589.0"/>
        <n v="5373917.0"/>
        <n v="2243433.0"/>
        <n v="1218754.0"/>
        <n v="5725691.0"/>
        <n v="2156593.0"/>
        <n v="2210951.0"/>
        <n v="1022103.0"/>
        <n v="5630279.0"/>
        <n v="4380841.0"/>
        <n v="2802314.0"/>
        <n v="1082478.0"/>
        <n v="4550727.0"/>
        <n v="3427928.0"/>
        <n v="3123151.0"/>
        <n v="646718.0"/>
        <n v="3429768.0"/>
        <n v="2897814.0"/>
        <n v="1587086.0"/>
        <n v="528809.0"/>
        <n v="4830031.0"/>
        <n v="3206874.0"/>
        <n v="1566987.0"/>
        <n v="1117878.0"/>
        <n v="3355010.0"/>
        <n v="4374270.0"/>
        <n v="2030478.0"/>
        <n v="686778.0"/>
        <n v="3357727.0"/>
        <n v="4379519.0"/>
        <n v="2102566.0"/>
        <n v="1285472.0"/>
        <n v="5067333.0"/>
        <n v="2825700.0"/>
        <n v="1345144.0"/>
        <n v="998350.0"/>
        <n v="5685627.0"/>
        <n v="3916907.0"/>
        <n v="2372929.0"/>
        <n v="915676.0"/>
        <n v="3200805.0"/>
        <n v="3472690.0"/>
        <n v="1440876.0"/>
        <n v="887472.0"/>
        <n v="4581791.0"/>
        <n v="3314431.0"/>
        <n v="3096318.0"/>
        <n v="1169623.0"/>
        <n v="3928898.0"/>
        <n v="4713981.0"/>
        <n v="2643517.0"/>
        <n v="881877.0"/>
        <n v="4181697.0"/>
        <n v="3516889.0"/>
        <n v="2002112.0"/>
        <n v="788195.0"/>
        <n v="4738551.0"/>
        <n v="2612740.0"/>
        <n v="2922754.0"/>
        <n v="1408379.0"/>
        <n v="5076943.0"/>
        <n v="2296294.0"/>
        <n v="2417526.0"/>
        <n v="986380.0"/>
        <n v="5406654.0"/>
        <n v="3800923.0"/>
        <n v="3172170.0"/>
        <n v="1221981.0"/>
        <n v="3695345.0"/>
        <n v="3691516.0"/>
        <n v="2708613.0"/>
        <n v="1102250.0"/>
        <n v="3449841.0"/>
        <n v="2791202.0"/>
        <n v="2653993.0"/>
        <n v="861068.0"/>
        <n v="6208458.0"/>
        <n v="4429604.0"/>
        <n v="2841097.0"/>
        <n v="1472388.0"/>
        <n v="5675673.0"/>
        <n v="2873565.0"/>
        <n v="1735583.0"/>
        <n v="556910.0"/>
        <n v="4867350.0"/>
        <n v="3987444.0"/>
        <n v="1915841.0"/>
        <n v="786002.0"/>
        <n v="3992843.0"/>
        <n v="3946786.0"/>
        <n v="2236252.0"/>
        <n v="1127593.0"/>
        <n v="4191193.0"/>
        <n v="5129292.0"/>
        <n v="2208965.0"/>
        <n v="834606.0"/>
        <n v="4053184.0"/>
        <n v="4636181.0"/>
        <n v="1631425.0"/>
        <n v="593442.0"/>
        <n v="4223641.0"/>
        <n v="5323394.0"/>
        <n v="1369767.0"/>
        <n v="555912.0"/>
        <n v="5491228.0"/>
        <n v="3982992.0"/>
        <n v="2348276.0"/>
        <n v="448354.0"/>
        <n v="6215750.0"/>
        <n v="4873421.0"/>
        <n v="3011750.0"/>
        <n v="1073891.0"/>
        <n v="4250123.0"/>
        <n v="4698412.0"/>
        <n v="2755957.0"/>
        <n v="1461857.0"/>
        <n v="3506705.0"/>
        <n v="2207152.0"/>
        <n v="2833329.0"/>
        <n v="1055178.0"/>
        <n v="3479150.0"/>
        <n v="2202768.0"/>
        <n v="3262661.0"/>
        <n v="1354154.0"/>
        <n v="4497431.0"/>
        <n v="4329779.0"/>
        <n v="1800154.0"/>
        <n v="821867.0"/>
        <n v="5115717.0"/>
        <n v="3807480.0"/>
        <n v="3243210.0"/>
        <n v="656622.0"/>
        <n v="4947490.0"/>
        <n v="4750859.0"/>
        <n v="3005187.0"/>
        <n v="490911.0"/>
        <n v="6056079.0"/>
        <n v="4050208.0"/>
        <n v="1963062.0"/>
        <n v="1467532.0"/>
        <n v="5679935.0"/>
        <n v="3778379.0"/>
        <n v="1819003.0"/>
        <n v="505045.0"/>
        <n v="3414565.0"/>
        <n v="4520524.0"/>
        <n v="2477074.0"/>
        <n v="940391.0"/>
        <n v="3810829.0"/>
        <n v="3301620.0"/>
        <n v="1355134.0"/>
        <n v="872788.0"/>
        <n v="3290262.0"/>
        <n v="2913040.0"/>
        <n v="2890709.0"/>
        <n v="1027949.0"/>
        <n v="6565403.0"/>
        <n v="4295314.0"/>
        <n v="2036033.0"/>
        <n v="1119160.0"/>
        <n v="4419941.0"/>
        <n v="4834791.0"/>
        <n v="2273691.0"/>
        <n v="804513.0"/>
        <n v="5038909.0"/>
        <n v="2812757.0"/>
        <n v="1397501.0"/>
        <n v="1245127.0"/>
        <n v="6025877.0"/>
        <n v="5159050.0"/>
        <n v="2418451.0"/>
        <n v="1490873.0"/>
        <n v="5890560.0"/>
        <n v="3464504.0"/>
        <n v="2244527.0"/>
        <n v="1358727.0"/>
        <n v="4731082.0"/>
        <n v="4207697.0"/>
        <n v="3008111.0"/>
        <n v="1450602.0"/>
        <n v="6341590.0"/>
        <n v="3677942.0"/>
        <n v="1369283.0"/>
        <n v="1599740.0"/>
        <n v="4695402.0"/>
        <n v="3982232.0"/>
        <n v="1816909.0"/>
        <n v="811341.0"/>
        <n v="6018793.0"/>
        <n v="3587423.0"/>
        <n v="2230571.0"/>
        <n v="1054239.0"/>
        <n v="3192732.0"/>
        <n v="2555310.0"/>
        <n v="3411011.0"/>
        <n v="1146587.0"/>
        <n v="5657974.0"/>
        <n v="4277039.0"/>
        <n v="2314890.0"/>
        <n v="405864.0"/>
        <n v="4115456.0"/>
        <n v="4111164.0"/>
        <n v="3395476.0"/>
        <n v="885964.0"/>
        <n v="5996184.0"/>
        <n v="4189677.0"/>
        <n v="2366521.0"/>
        <n v="835293.0"/>
        <n v="3911348.0"/>
        <n v="4174055.0"/>
        <n v="1688791.0"/>
        <n v="975268.0"/>
        <n v="5240388.0"/>
        <n v="2115669.0"/>
        <n v="1742778.0"/>
        <n v="753403.0"/>
        <n v="5583891.0"/>
        <n v="2796829.0"/>
        <n v="3112315.0"/>
        <n v="993417.0"/>
        <n v="4196795.0"/>
        <n v="3791647.0"/>
        <n v="3511268.0"/>
        <n v="1139386.0"/>
        <n v="3930891.0"/>
        <n v="3271842.0"/>
        <n v="1582717.0"/>
        <n v="907563.0"/>
        <n v="4754890.0"/>
        <n v="2717064.0"/>
        <n v="1551413.0"/>
        <n v="479175.0"/>
        <n v="4330963.0"/>
        <n v="4655738.0"/>
        <n v="1738781.0"/>
        <n v="799386.0"/>
        <n v="6058474.0"/>
        <n v="3588788.0"/>
        <n v="1919086.0"/>
        <n v="561466.0"/>
        <n v="5716874.0"/>
        <n v="2189321.0"/>
        <n v="2447222.0"/>
        <n v="981373.0"/>
        <n v="5788545.0"/>
        <n v="4869202.0"/>
        <n v="3480412.0"/>
        <n v="883728.0"/>
        <n v="5291073.0"/>
        <n v="4574225.0"/>
        <n v="1482676.0"/>
        <n v="783427.0"/>
        <n v="4245978.0"/>
        <n v="4200451.0"/>
        <n v="1845717.0"/>
        <n v="585732.0"/>
        <n v="3256302.0"/>
        <n v="4198484.0"/>
        <n v="1624072.0"/>
        <n v="1158920.0"/>
        <n v="4931825.0"/>
        <n v="3337643.0"/>
        <n v="2648364.0"/>
        <n v="616205.0"/>
        <n v="3396640.0"/>
        <n v="3181326.0"/>
        <n v="1913805.0"/>
        <n v="1028471.0"/>
        <n v="5858660.0"/>
        <n v="3553681.0"/>
        <n v="1554443.0"/>
        <n v="478939.0"/>
        <n v="3824063.0"/>
        <n v="3103986.0"/>
        <n v="1613874.0"/>
        <n v="724086.0"/>
        <n v="3778933.0"/>
        <n v="2771371.0"/>
        <n v="3189090.0"/>
        <n v="592073.0"/>
        <n v="4748259.0"/>
        <n v="3530119.0"/>
        <n v="1997064.0"/>
        <n v="859095.0"/>
        <n v="4331473.0"/>
        <n v="4442200.0"/>
        <n v="1320479.0"/>
        <n v="541307.0"/>
        <n v="3758735.0"/>
        <n v="4962229.0"/>
        <n v="1492217.0"/>
        <n v="1469664.0"/>
        <n v="4306309.0"/>
        <n v="3905104.0"/>
        <n v="2485319.0"/>
        <n v="809414.0"/>
        <n v="4721412.0"/>
        <n v="4055539.0"/>
        <n v="2567009.0"/>
        <n v="783327.0"/>
        <n v="3354876.0"/>
        <n v="3445337.0"/>
        <n v="1803986.0"/>
        <n v="581713.0"/>
        <n v="4406663.0"/>
        <n v="2365908.0"/>
        <n v="2898711.0"/>
        <n v="499098.0"/>
        <n v="3124112.0"/>
        <n v="4137193.0"/>
        <n v="1789811.0"/>
        <n v="1045433.0"/>
        <n v="4921448.0"/>
        <n v="5081285.0"/>
        <n v="2030444.0"/>
        <n v="1128034.0"/>
        <n v="3459174.0"/>
        <n v="3717241.0"/>
        <n v="2949261.0"/>
        <n v="528376.0"/>
        <n v="4749028.0"/>
        <n v="4261911.0"/>
        <n v="2336554.0"/>
        <n v="849940.0"/>
        <n v="5451089.0"/>
        <n v="2778498.0"/>
        <n v="2535241.0"/>
        <n v="844321.0"/>
        <n v="6242770.0"/>
        <n v="3117896.0"/>
        <n v="2718163.0"/>
        <n v="973814.0"/>
        <n v="5121982.0"/>
        <n v="3793343.0"/>
        <n v="3221021.0"/>
        <n v="1402162.0"/>
        <n v="5981765.0"/>
        <n v="4585839.0"/>
        <n v="3063660.0"/>
        <n v="502515.0"/>
        <n v="3333037.0"/>
        <n v="3119874.0"/>
        <n v="2690692.0"/>
        <n v="657318.0"/>
        <n v="3758223.0"/>
        <n v="3975285.0"/>
        <n v="1987312.0"/>
        <n v="591352.0"/>
        <n v="5566009.0"/>
        <n v="2473193.0"/>
        <n v="2433459.0"/>
        <n v="788630.0"/>
        <n v="6109404.0"/>
        <n v="3257945.0"/>
        <n v="2527575.0"/>
        <n v="910255.0"/>
        <n v="4486540.0"/>
        <n v="3278268.0"/>
        <n v="1979415.0"/>
        <n v="1564117.0"/>
        <n v="4463296.0"/>
        <n v="2986150.0"/>
        <n v="2833642.0"/>
        <n v="764955.0"/>
        <n v="6104770.0"/>
        <n v="5081607.0"/>
        <n v="2982269.0"/>
        <n v="983877.0"/>
        <n v="3748036.0"/>
        <n v="4997274.0"/>
        <n v="2163160.0"/>
        <n v="752708.0"/>
        <n v="4955113.0"/>
        <n v="4125989.0"/>
        <n v="1618290.0"/>
        <n v="467137.0"/>
        <n v="3158697.0"/>
        <n v="4665949.0"/>
        <n v="2792660.0"/>
        <n v="1254895.0"/>
        <n v="6443629.0"/>
        <n v="2666878.0"/>
        <n v="2688852.0"/>
        <n v="576493.0"/>
        <n v="3069604.0"/>
        <n v="2472668.0"/>
        <n v="1685067.0"/>
        <n v="673230.0"/>
        <n v="6548109.0"/>
        <n v="4676209.0"/>
        <n v="2222594.0"/>
        <n v="1220767.0"/>
        <n v="6301534.0"/>
        <n v="2290246.0"/>
        <n v="3292628.0"/>
        <n v="1027473.0"/>
        <n v="6245559.0"/>
        <n v="5418699.0"/>
        <n v="1575877.0"/>
        <n v="885073.0"/>
        <n v="4631948.0"/>
        <n v="4533538.0"/>
        <n v="2043673.0"/>
        <n v="776671.0"/>
        <n v="5728575.0"/>
        <n v="4213993.0"/>
        <n v="2846934.0"/>
        <n v="661031.0"/>
        <n v="4449430.0"/>
        <n v="2864057.0"/>
        <n v="3063138.0"/>
        <n v="578420.0"/>
        <n v="4124642.0"/>
        <n v="3236573.0"/>
        <n v="2901558.0"/>
        <n v="1103776.0"/>
        <n v="5224233.0"/>
        <n v="3257590.0"/>
        <n v="2805924.0"/>
        <n v="1469388.0"/>
        <n v="5035603.0"/>
        <n v="3337788.0"/>
        <n v="2159869.0"/>
        <n v="1133382.0"/>
        <n v="5211923.0"/>
        <n v="5410359.0"/>
        <n v="1646784.0"/>
        <n v="1427664.0"/>
        <n v="6195989.0"/>
        <n v="3618047.0"/>
        <n v="2124109.0"/>
        <n v="1069699.0"/>
        <n v="4879881.0"/>
        <n v="3257505.0"/>
        <n v="2624900.0"/>
        <n v="1060219.0"/>
        <n v="4402258.0"/>
        <n v="2520610.0"/>
        <n v="2187953.0"/>
        <n v="614570.0"/>
        <n v="5464400.0"/>
        <n v="2384730.0"/>
        <n v="3274262.0"/>
        <n v="769135.0"/>
        <n v="5853464.0"/>
        <n v="4729065.0"/>
        <n v="2093245.0"/>
        <n v="1464744.0"/>
        <n v="3810413.0"/>
        <n v="4595499.0"/>
        <n v="1518119.0"/>
        <n v="644868.0"/>
        <n v="3112781.0"/>
        <n v="2144438.0"/>
        <n v="1784848.0"/>
        <n v="800867.0"/>
        <n v="4728294.0"/>
        <n v="3386956.0"/>
        <n v="2545071.0"/>
        <n v="627597.0"/>
        <n v="4225714.0"/>
        <n v="4634299.0"/>
        <n v="2441822.0"/>
        <n v="882395.0"/>
        <n v="6087436.0"/>
        <n v="5464597.0"/>
        <n v="2895543.0"/>
        <n v="1223575.0"/>
        <n v="5245027.0"/>
        <n v="2299876.0"/>
        <n v="1810436.0"/>
        <n v="874561.0"/>
        <n v="6191019.0"/>
        <n v="2831115.0"/>
        <n v="1352750.0"/>
        <n v="1330665.0"/>
        <n v="4734962.0"/>
        <n v="3847245.0"/>
        <n v="2793268.0"/>
        <n v="974625.0"/>
        <n v="4058841.0"/>
        <n v="2896423.0"/>
        <n v="2862557.0"/>
        <n v="928321.0"/>
        <n v="4431510.0"/>
        <n v="2811790.0"/>
        <n v="2536912.0"/>
        <n v="418320.0"/>
        <n v="5660833.0"/>
        <n v="4313115.0"/>
        <n v="2081728.0"/>
        <n v="1049374.0"/>
        <n v="4051625.0"/>
        <n v="5656894.0"/>
        <n v="2262471.0"/>
        <n v="1237577.0"/>
        <n v="4158821.0"/>
        <n v="2249413.0"/>
        <n v="2299796.0"/>
        <n v="731918.0"/>
        <n v="5743923.0"/>
        <n v="3780504.0"/>
        <n v="2483665.0"/>
        <n v="1317752.0"/>
        <n v="4545550.0"/>
        <n v="4201664.0"/>
        <n v="2096897.0"/>
        <n v="1250237.0"/>
        <n v="5440748.0"/>
        <n v="2085608.0"/>
        <n v="2034690.0"/>
        <n v="1027218.0"/>
        <n v="3599148.0"/>
        <n v="2337401.0"/>
        <n v="3104469.0"/>
        <n v="478647.0"/>
        <n v="3517875.0"/>
        <n v="5390607.0"/>
        <n v="2899819.0"/>
        <n v="983571.0"/>
        <n v="4880211.0"/>
        <n v="4783203.0"/>
        <n v="2979280.0"/>
        <n v="1001679.0"/>
        <n v="6288398.0"/>
        <n v="5124379.0"/>
        <n v="1842871.0"/>
        <n v="1256480.0"/>
        <n v="4072710.0"/>
        <n v="5034146.0"/>
        <n v="3044773.0"/>
        <n v="1065726.0"/>
        <n v="5773476.0"/>
        <n v="2981310.0"/>
        <n v="2197322.0"/>
        <n v="465629.0"/>
        <n v="4820159.0"/>
        <n v="3740746.0"/>
        <n v="2543733.0"/>
        <n v="566114.0"/>
        <n v="4272566.0"/>
        <n v="2451793.0"/>
        <n v="3079370.0"/>
        <n v="812298.0"/>
        <n v="5126044.0"/>
        <n v="2335385.0"/>
        <n v="1448755.0"/>
        <n v="969164.0"/>
        <n v="5948159.0"/>
        <n v="4595834.0"/>
        <n v="3240055.0"/>
        <n v="948010.0"/>
        <n v="4312283.0"/>
        <n v="3290924.0"/>
        <n v="2076324.0"/>
        <n v="610778.0"/>
        <n v="3488273.0"/>
        <n v="4899535.0"/>
        <n v="3014804.0"/>
        <n v="1313395.0"/>
        <n v="4985383.0"/>
        <n v="2700342.0"/>
        <n v="1839060.0"/>
        <n v="769100.0"/>
        <n v="3399241.0"/>
        <n v="5091045.0"/>
        <n v="2359495.0"/>
        <n v="642307.0"/>
        <n v="6016779.0"/>
        <n v="3434230.0"/>
        <n v="1524637.0"/>
        <n v="1042769.0"/>
        <n v="4407451.0"/>
        <n v="3785218.0"/>
        <n v="1984117.0"/>
        <n v="1033961.0"/>
        <n v="3777294.0"/>
        <n v="4982656.0"/>
        <n v="3017990.0"/>
        <n v="1062447.0"/>
        <n v="5841520.0"/>
        <n v="5022577.0"/>
        <n v="1562610.0"/>
        <n v="577997.0"/>
        <n v="5070280.0"/>
        <n v="4175137.0"/>
        <n v="2444212.0"/>
        <n v="605711.0"/>
        <n v="3989115.0"/>
        <n v="4775009.0"/>
        <n v="2805325.0"/>
        <n v="1395355.0"/>
        <n v="4005224.0"/>
        <n v="3192018.0"/>
        <n v="2996083.0"/>
        <n v="1228612.0"/>
        <n v="5348159.0"/>
        <n v="3573449.0"/>
        <n v="1713223.0"/>
        <n v="1190906.0"/>
        <n v="4224815.0"/>
        <n v="3611746.0"/>
        <n v="2387381.0"/>
        <n v="1307680.0"/>
        <n v="5316929.0"/>
        <n v="2411088.0"/>
        <n v="2685313.0"/>
        <n v="737396.0"/>
        <n v="6585181.0"/>
        <n v="2451424.0"/>
        <n v="2431910.0"/>
        <n v="722822.0"/>
        <n v="5900666.0"/>
        <n v="2700418.0"/>
        <n v="2128063.0"/>
        <n v="971032.0"/>
        <n v="5048075.0"/>
        <n v="2820663.0"/>
        <n v="1703626.0"/>
        <n v="871597.0"/>
        <n v="5676576.0"/>
        <n v="3795836.0"/>
        <n v="1278905.0"/>
        <n v="686905.0"/>
        <n v="3759895.0"/>
        <n v="3309881.0"/>
        <n v="2618104.0"/>
        <n v="909717.0"/>
        <n v="5360824.0"/>
        <n v="3942195.0"/>
        <n v="2087860.0"/>
        <n v="575664.0"/>
        <n v="4302031.0"/>
        <n v="2180063.0"/>
        <n v="3141460.0"/>
        <n v="928280.0"/>
        <n v="4277645.0"/>
        <n v="3985536.0"/>
        <n v="1444542.0"/>
        <n v="1025475.0"/>
        <n v="5381371.0"/>
        <n v="4852403.0"/>
        <n v="1405405.0"/>
        <n v="840944.0"/>
        <n v="5119174.0"/>
        <n v="3666024.0"/>
        <n v="1413114.0"/>
        <n v="1192222.0"/>
        <n v="4549769.0"/>
        <n v="2589381.0"/>
        <n v="2385685.0"/>
        <n v="1020263.0"/>
        <n v="6142809.0"/>
        <n v="5183789.0"/>
        <n v="2851463.0"/>
        <n v="1368535.0"/>
        <n v="4537966.0"/>
        <n v="3421926.0"/>
        <n v="1935850.0"/>
        <n v="1377822.0"/>
        <n v="4772544.0"/>
        <n v="3046720.0"/>
        <n v="2784142.0"/>
        <n v="629908.0"/>
        <n v="4294680.0"/>
        <n v="5527868.0"/>
        <n v="2857704.0"/>
        <n v="834225.0"/>
      </sharedItems>
    </cacheField>
    <cacheField name="Customer_Count" numFmtId="0">
      <sharedItems containsSemiMixedTypes="0" containsString="0" containsNumber="1" containsInteger="1">
        <n v="755.0"/>
        <n v="130.0"/>
        <n v="347.0"/>
        <n v="825.0"/>
        <n v="627.0"/>
        <n v="133.0"/>
        <n v="241.0"/>
        <n v="561.0"/>
        <n v="783.0"/>
        <n v="137.0"/>
        <n v="169.0"/>
        <n v="834.0"/>
        <n v="126.0"/>
        <n v="344.0"/>
        <n v="990.0"/>
        <n v="784.0"/>
        <n v="136.0"/>
        <n v="289.0"/>
        <n v="585.0"/>
        <n v="997.0"/>
        <n v="138.0"/>
        <n v="181.0"/>
        <n v="422.0"/>
        <n v="1006.0"/>
        <n v="88.0"/>
        <n v="367.0"/>
        <n v="771.0"/>
        <n v="778.0"/>
        <n v="215.0"/>
        <n v="205.0"/>
        <n v="1114.0"/>
        <n v="941.0"/>
        <n v="154.0"/>
        <n v="354.0"/>
        <n v="679.0"/>
        <n v="576.0"/>
        <n v="71.0"/>
        <n v="257.0"/>
        <n v="994.0"/>
        <n v="779.0"/>
        <n v="151.0"/>
        <n v="220.0"/>
        <n v="780.0"/>
        <n v="534.0"/>
        <n v="173.0"/>
        <n v="275.0"/>
        <n v="560.0"/>
        <n v="722.0"/>
        <n v="144.0"/>
        <n v="357.0"/>
        <n v="468.0"/>
        <n v="323.0"/>
        <n v="861.0"/>
        <n v="936.0"/>
        <n v="91.0"/>
        <n v="236.0"/>
        <n v="661.0"/>
        <n v="293.0"/>
        <n v="757.0"/>
        <n v="744.0"/>
        <n v="421.0"/>
        <n v="513.0"/>
        <n v="542.0"/>
        <n v="92.0"/>
        <n v="219.0"/>
        <n v="382.0"/>
        <n v="668.0"/>
        <n v="113.0"/>
        <n v="180.0"/>
        <n v="726.0"/>
        <n v="598.0"/>
        <n v="187.0"/>
        <n v="287.0"/>
        <n v="537.0"/>
        <n v="539.0"/>
        <n v="145.0"/>
        <n v="1080.0"/>
        <n v="767.0"/>
        <n v="112.0"/>
        <n v="152.0"/>
        <n v="569.0"/>
        <n v="866.0"/>
        <n v="326.0"/>
        <n v="565.0"/>
        <n v="592.0"/>
        <n v="119.0"/>
        <n v="625.0"/>
        <n v="701.0"/>
        <n v="305.0"/>
        <n v="763.0"/>
        <n v="601.0"/>
        <n v="185.0"/>
        <n v="330.0"/>
        <n v="459.0"/>
        <n v="529.0"/>
        <n v="121.0"/>
        <n v="239.0"/>
        <n v="549.0"/>
        <n v="759.0"/>
        <n v="86.0"/>
        <n v="353.0"/>
        <n v="1083.0"/>
        <n v="864.0"/>
        <n v="286.0"/>
        <n v="570.0"/>
        <n v="964.0"/>
        <n v="377.0"/>
        <n v="785.0"/>
        <n v="624.0"/>
        <n v="159.0"/>
        <n v="309.0"/>
        <n v="720.0"/>
        <n v="103.0"/>
        <n v="277.0"/>
        <n v="1104.0"/>
        <n v="139.0"/>
        <n v="405.0"/>
        <n v="1063.0"/>
        <n v="854.0"/>
        <n v="182.0"/>
        <n v="416.0"/>
        <n v="919.0"/>
        <n v="252.0"/>
        <n v="453.0"/>
        <n v="553.0"/>
        <n v="153.0"/>
        <n v="247.0"/>
        <n v="670.0"/>
        <n v="557.0"/>
        <n v="192.0"/>
        <n v="288.0"/>
        <n v="702.0"/>
        <n v="657.0"/>
        <n v="203.0"/>
        <n v="189.0"/>
        <n v="398.0"/>
        <n v="700.0"/>
        <n v="188.0"/>
        <n v="386.0"/>
        <n v="736.0"/>
        <n v="164.0"/>
        <n v="336.0"/>
        <n v="845.0"/>
        <n v="222.0"/>
        <n v="611.0"/>
        <n v="675.0"/>
        <n v="195.0"/>
        <n v="383.0"/>
        <n v="989.0"/>
        <n v="502.0"/>
        <n v="370.0"/>
        <n v="680.0"/>
        <n v="641.0"/>
        <n v="77.0"/>
        <n v="971.0"/>
        <n v="698.0"/>
        <n v="158.0"/>
        <n v="597.0"/>
        <n v="735.0"/>
        <n v="142.0"/>
        <n v="401.0"/>
        <n v="500.0"/>
        <n v="730.0"/>
        <n v="193.0"/>
        <n v="395.0"/>
        <n v="898.0"/>
        <n v="881.0"/>
        <n v="896.0"/>
        <n v="237.0"/>
        <n v="417.0"/>
        <n v="583.0"/>
        <n v="311.0"/>
        <n v="776.0"/>
        <n v="480.0"/>
        <n v="168.0"/>
        <n v="546.0"/>
        <n v="457.0"/>
        <n v="107.0"/>
        <n v="966.0"/>
        <n v="226.0"/>
        <n v="646.0"/>
        <n v="167.0"/>
        <n v="559.0"/>
        <n v="761.0"/>
        <n v="128.0"/>
        <n v="986.0"/>
        <n v="970.0"/>
        <n v="290.0"/>
        <n v="889.0"/>
        <n v="117.0"/>
        <n v="885.0"/>
        <n v="656.0"/>
        <n v="140.0"/>
        <n v="372.0"/>
        <n v="1102.0"/>
        <n v="1058.0"/>
        <n v="648.0"/>
        <n v="157.0"/>
        <n v="208.0"/>
        <n v="939.0"/>
        <n v="768.0"/>
        <n v="104.0"/>
        <n v="437.0"/>
        <n v="842.0"/>
        <n v="928.0"/>
        <n v="304.0"/>
        <n v="445.0"/>
        <n v="605.0"/>
        <n v="887.0"/>
        <n v="540.0"/>
        <n v="232.0"/>
        <n v="588.0"/>
        <n v="913.0"/>
        <n v="201.0"/>
        <n v="554.0"/>
        <n v="754.0"/>
        <n v="435.0"/>
        <n v="340.0"/>
        <n v="719.0"/>
        <n v="198.0"/>
        <n v="650.0"/>
        <n v="176.0"/>
        <n v="743.0"/>
        <n v="200.0"/>
        <n v="817.0"/>
        <n v="221.0"/>
        <n v="851.0"/>
        <n v="90.0"/>
        <n v="846.0"/>
        <n v="950.0"/>
        <n v="216.0"/>
        <n v="848.0"/>
        <n v="150.0"/>
        <n v="170.0"/>
        <n v="440.0"/>
        <n v="338.0"/>
        <n v="829.0"/>
        <n v="298.0"/>
        <n v="498.0"/>
        <n v="472.0"/>
        <n v="125.0"/>
        <n v="258.0"/>
        <n v="892.0"/>
        <n v="123.0"/>
        <n v="183.0"/>
        <n v="322.0"/>
        <n v="658.0"/>
        <n v="108.0"/>
        <n v="213.0"/>
        <n v="547.0"/>
        <n v="620.0"/>
        <n v="114.0"/>
        <n v="450.0"/>
        <n v="869.0"/>
        <n v="147.0"/>
        <n v="655.0"/>
        <n v="174.0"/>
        <n v="334.0"/>
        <n v="660.0"/>
        <n v="210.0"/>
        <n v="186.0"/>
        <n v="926.0"/>
        <n v="161.0"/>
        <n v="635.0"/>
        <n v="710.0"/>
        <n v="355.0"/>
        <n v="595.0"/>
        <n v="626.0"/>
        <n v="191.0"/>
        <n v="376.0"/>
        <n v="100.0"/>
        <n v="391.0"/>
        <n v="455.0"/>
        <n v="228.0"/>
        <n v="868.0"/>
        <n v="171.0"/>
        <n v="284.0"/>
        <n v="833.0"/>
        <n v="356.0"/>
        <n v="381.0"/>
        <n v="343.0"/>
        <n v="645.0"/>
        <n v="960.0"/>
        <n v="265.0"/>
        <n v="633.0"/>
        <n v="916.0"/>
        <n v="683.0"/>
        <n v="738.0"/>
        <n v="166.0"/>
        <n v="341.0"/>
        <n v="838.0"/>
        <n v="883.0"/>
        <n v="155.0"/>
        <n v="564.0"/>
        <n v="109.0"/>
        <n v="430.0"/>
        <n v="266.0"/>
        <n v="101.0"/>
        <n v="1015.0"/>
        <n v="132.0"/>
        <n v="631.0"/>
        <n v="787.0"/>
        <n v="823.0"/>
        <n v="295.0"/>
        <n v="543.0"/>
        <n v="984.0"/>
        <n v="194.0"/>
        <n v="318.0"/>
        <n v="711.0"/>
        <n v="612.0"/>
        <n v="282.0"/>
        <n v="621.0"/>
        <n v="752.0"/>
        <n v="297.0"/>
        <n v="172.0"/>
        <n v="392.0"/>
        <n v="777.0"/>
        <n v="982.0"/>
        <n v="448.0"/>
        <n v="493.0"/>
        <n v="98.0"/>
        <n v="412.0"/>
        <n v="1016.0"/>
        <n v="832.0"/>
        <n v="106.0"/>
        <n v="374.0"/>
        <n v="632.0"/>
        <n v="798.0"/>
        <n v="177.0"/>
        <n v="699.0"/>
        <n v="828.0"/>
        <n v="235.0"/>
        <n v="571.0"/>
        <n v="363.0"/>
        <n v="508.0"/>
        <n v="607.0"/>
        <n v="127.0"/>
        <n v="360.0"/>
        <n v="742.0"/>
        <n v="835.0"/>
        <n v="718.0"/>
        <n v="914.0"/>
        <n v="271.0"/>
        <n v="640.0"/>
        <n v="131.0"/>
        <n v="329.0"/>
        <n v="815.0"/>
        <n v="636.0"/>
        <n v="93.0"/>
        <n v="254.0"/>
        <n v="443.0"/>
        <n v="81.0"/>
        <n v="993.0"/>
        <n v="294.0"/>
        <n v="439.0"/>
        <n v="211.0"/>
        <n v="538.0"/>
        <n v="647.0"/>
        <n v="316.0"/>
        <n v="428.0"/>
        <n v="280.0"/>
        <n v="536.0"/>
        <n v="1019.0"/>
        <n v="404.0"/>
        <n v="808.0"/>
        <n v="774.0"/>
        <n v="83.0"/>
        <n v="527.0"/>
        <n v="734.0"/>
        <n v="753.0"/>
        <n v="342.0"/>
        <n v="111.0"/>
        <n v="434.0"/>
        <n v="811.0"/>
        <n v="115.0"/>
        <n v="368.0"/>
        <n v="1056.0"/>
        <n v="244.0"/>
        <n v="562.0"/>
        <n v="175.0"/>
        <n v="972.0"/>
        <n v="715.0"/>
        <n v="97.0"/>
        <n v="512.0"/>
        <n v="134.0"/>
        <n v="1000.0"/>
        <n v="791.0"/>
        <n v="751.0"/>
        <n v="727.0"/>
        <n v="473.0"/>
        <n v="413.0"/>
        <n v="352.0"/>
        <n v="507.0"/>
        <n v="604.0"/>
        <n v="746.0"/>
        <n v="365.0"/>
        <n v="688.0"/>
        <n v="1074.0"/>
        <n v="983.0"/>
        <n v="591.0"/>
        <n v="335.0"/>
        <n v="732.0"/>
        <n v="952.0"/>
        <n v="308.0"/>
        <n v="573.0"/>
        <n v="451.0"/>
        <n v="795.0"/>
        <n v="89.0"/>
        <n v="402.0"/>
        <n v="586.0"/>
        <n v="470.0"/>
        <n v="520.0"/>
        <n v="325.0"/>
        <n v="118.0"/>
        <n v="255.0"/>
        <n v="499.0"/>
        <n v="315.0"/>
        <n v="985.0"/>
        <n v="505.0"/>
        <n v="705.0"/>
        <n v="805.0"/>
        <n v="850.0"/>
        <n v="358.0"/>
        <n v="165.0"/>
        <n v="300.0"/>
        <n v="432.0"/>
        <n v="676.0"/>
        <n v="1051.0"/>
        <n v="379.0"/>
        <n v="899.0"/>
        <n v="814.0"/>
        <n v="217.0"/>
        <n v="788.0"/>
        <n v="120.0"/>
        <n v="331.0"/>
        <n v="770.0"/>
        <n v="292.0"/>
        <n v="444.0"/>
        <n v="76.0"/>
        <n v="301.0"/>
        <n v="477.0"/>
        <n v="856.0"/>
        <n v="1028.0"/>
        <n v="306.0"/>
        <n v="501.0"/>
        <n v="691.0"/>
        <n v="163.0"/>
        <n v="333.0"/>
        <n v="427.0"/>
        <n v="528.0"/>
        <n v="143.0"/>
        <n v="206.0"/>
        <n v="731.0"/>
        <n v="908.0"/>
        <n v="263.0"/>
        <n v="678.0"/>
        <n v="844.0"/>
        <n v="693.0"/>
        <n v="408.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rowGrandTotals="0" compact="0" compactData="0">
  <location ref="A1:C181" firstHeaderRow="0" firstDataRow="2" firstDataCol="0"/>
  <pivotFields>
    <pivotField name="Store_ID" compact="0" outline="0" multipleItemSelectionAllowed="1" showAll="0">
      <items>
        <item x="0"/>
        <item x="1"/>
        <item x="2"/>
        <item x="3"/>
        <item x="4"/>
        <item x="5"/>
        <item x="6"/>
        <item x="7"/>
        <item x="8"/>
        <item x="9"/>
        <item x="10"/>
        <item x="11"/>
        <item x="12"/>
        <item x="13"/>
        <item x="14"/>
        <item t="default"/>
      </items>
    </pivotField>
    <pivotField name="Store_Name" axis="axisRow" compact="0" outline="0" multipleItemSelectionAllowed="1" showAll="0" sortType="ascending" defaultSubtotal="0">
      <items>
        <item x="0"/>
        <item x="9"/>
        <item x="10"/>
        <item x="11"/>
        <item x="12"/>
        <item x="13"/>
        <item x="14"/>
        <item x="1"/>
        <item x="2"/>
        <item x="3"/>
        <item x="4"/>
        <item x="5"/>
        <item x="6"/>
        <item x="7"/>
        <item x="8"/>
      </items>
    </pivotField>
    <pivotField name="Location" compact="0" outline="0" multipleItemSelectionAllowed="1" showAll="0">
      <items>
        <item x="0"/>
        <item x="1"/>
        <item x="2"/>
        <item x="3"/>
        <item t="default"/>
      </items>
    </pivotField>
    <pivotField name="Month" axis="axisRow" compact="0" outline="0" multipleItemSelectionAllowed="1" showAll="0" sortType="ascending">
      <items>
        <item x="3"/>
        <item x="7"/>
        <item x="11"/>
        <item x="1"/>
        <item x="0"/>
        <item x="6"/>
        <item x="5"/>
        <item x="2"/>
        <item x="4"/>
        <item x="10"/>
        <item x="9"/>
        <item x="8"/>
        <item t="default"/>
      </items>
    </pivotField>
    <pivotField name="Product_Category" compact="0" outline="0" multipleItemSelectionAllowed="1" showAll="0">
      <items>
        <item x="0"/>
        <item x="1"/>
        <item x="2"/>
        <item x="3"/>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Unit_Price_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Total_Sales_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ame="Customer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t="default"/>
      </items>
    </pivotField>
  </pivotFields>
  <rowFields>
    <field x="1"/>
    <field x="3"/>
  </rowFields>
  <dataFields>
    <dataField name="SUM of Total_Sales_Rs" fld="7" baseField="0"/>
  </dataFields>
</pivotTableDefinition>
</file>

<file path=xl/pivotTables/pivotTable2.xml><?xml version="1.0" encoding="utf-8"?>
<pivotTableDefinition xmlns="http://schemas.openxmlformats.org/spreadsheetml/2006/main" name="Pivot Table 2" cacheId="0" dataCaption="" compact="0" compactData="0">
  <location ref="A1:L31" firstHeaderRow="0" firstDataRow="3" firstDataCol="1"/>
  <pivotFields>
    <pivotField name="Store_ID" compact="0" outline="0" multipleItemSelectionAllowed="1" showAll="0">
      <items>
        <item x="0"/>
        <item x="1"/>
        <item x="2"/>
        <item x="3"/>
        <item x="4"/>
        <item x="5"/>
        <item x="6"/>
        <item x="7"/>
        <item x="8"/>
        <item x="9"/>
        <item x="10"/>
        <item x="11"/>
        <item x="12"/>
        <item x="13"/>
        <item x="14"/>
        <item t="default"/>
      </items>
    </pivotField>
    <pivotField name="Store_Name" axis="axisRow" compact="0" outline="0" multipleItemSelectionAllowed="1" showAll="0" sortType="ascending">
      <items>
        <item x="0"/>
        <item sd="0" x="9"/>
        <item sd="0" x="10"/>
        <item sd="0" x="11"/>
        <item sd="0" x="12"/>
        <item sd="0" x="13"/>
        <item sd="0" x="14"/>
        <item sd="0" x="1"/>
        <item sd="0" x="2"/>
        <item sd="0" x="3"/>
        <item sd="0" x="4"/>
        <item sd="0" x="5"/>
        <item sd="0" x="6"/>
        <item sd="0" x="7"/>
        <item sd="0" x="8"/>
        <item t="default"/>
      </items>
    </pivotField>
    <pivotField name="Location" compact="0" outline="0" multipleItemSelectionAllowed="1" showAll="0">
      <items>
        <item x="0"/>
        <item x="1"/>
        <item x="2"/>
        <item x="3"/>
        <item t="default"/>
      </items>
    </pivotField>
    <pivotField name="Month" axis="axisRow" compact="0" outline="0" multipleItemSelectionAllowed="1" showAll="0" sortType="ascending">
      <items>
        <item x="3"/>
        <item x="7"/>
        <item x="11"/>
        <item x="1"/>
        <item x="0"/>
        <item x="6"/>
        <item x="5"/>
        <item x="2"/>
        <item x="4"/>
        <item x="10"/>
        <item x="9"/>
        <item x="8"/>
        <item t="default"/>
      </items>
    </pivotField>
    <pivotField name="Product_Category" axis="axisCol" compact="0" outline="0" multipleItemSelectionAllowed="1" showAll="0" sortType="ascending">
      <items>
        <item x="3"/>
        <item x="1"/>
        <item x="0"/>
        <item x="2"/>
        <item t="default"/>
      </items>
    </pivotField>
    <pivotField name="Units_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t="default"/>
      </items>
    </pivotField>
    <pivotField name="Unit_Price_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t="default"/>
      </items>
    </pivotField>
    <pivotField name="Total_Sales_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ame="Customer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t="default"/>
      </items>
    </pivotField>
  </pivotFields>
  <rowFields>
    <field x="1"/>
    <field x="3"/>
  </rowFields>
  <colFields>
    <field x="4"/>
    <field x="-2"/>
  </colFields>
  <dataFields>
    <dataField name="SUM of Total_Sales_Rs" fld="7" baseField="0"/>
    <dataField name="AVERAGE of Total_Sales_Rs" fld="7"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14.86"/>
    <col customWidth="1" min="3" max="3" width="11.43"/>
    <col customWidth="1" min="4" max="4" width="9.86"/>
    <col customWidth="1" min="5" max="5" width="19.57"/>
    <col customWidth="1" min="6" max="6" width="13.43"/>
    <col customWidth="1" min="7" max="7" width="16.14"/>
    <col customWidth="1" min="8" max="8" width="16.71"/>
    <col customWidth="1" min="9" max="9" width="18.57"/>
  </cols>
  <sheetData>
    <row r="1">
      <c r="A1" s="1" t="s">
        <v>0</v>
      </c>
      <c r="B1" s="1" t="s">
        <v>1</v>
      </c>
      <c r="C1" s="1" t="s">
        <v>2</v>
      </c>
      <c r="D1" s="1" t="s">
        <v>3</v>
      </c>
      <c r="E1" s="1" t="s">
        <v>4</v>
      </c>
      <c r="F1" s="1" t="s">
        <v>5</v>
      </c>
      <c r="G1" s="1" t="s">
        <v>6</v>
      </c>
      <c r="H1" s="1" t="s">
        <v>7</v>
      </c>
      <c r="I1" s="1" t="s">
        <v>8</v>
      </c>
    </row>
    <row r="2">
      <c r="A2" s="2">
        <v>1.0</v>
      </c>
      <c r="B2" s="2" t="s">
        <v>9</v>
      </c>
      <c r="C2" s="2" t="s">
        <v>10</v>
      </c>
      <c r="D2" s="2" t="s">
        <v>11</v>
      </c>
      <c r="E2" s="2" t="s">
        <v>12</v>
      </c>
      <c r="F2" s="2">
        <v>1013.0</v>
      </c>
      <c r="G2" s="2">
        <v>5183.82</v>
      </c>
      <c r="H2" s="2">
        <v>5251214.0</v>
      </c>
      <c r="I2" s="2">
        <v>755.0</v>
      </c>
    </row>
    <row r="3">
      <c r="A3" s="2">
        <v>1.0</v>
      </c>
      <c r="B3" s="2" t="s">
        <v>9</v>
      </c>
      <c r="C3" s="2" t="s">
        <v>10</v>
      </c>
      <c r="D3" s="2" t="s">
        <v>11</v>
      </c>
      <c r="E3" s="2" t="s">
        <v>13</v>
      </c>
      <c r="F3" s="2">
        <v>157.0</v>
      </c>
      <c r="G3" s="2">
        <v>21079.86</v>
      </c>
      <c r="H3" s="2">
        <v>3309539.0</v>
      </c>
      <c r="I3" s="2">
        <v>130.0</v>
      </c>
    </row>
    <row r="4">
      <c r="A4" s="2">
        <v>1.0</v>
      </c>
      <c r="B4" s="2" t="s">
        <v>9</v>
      </c>
      <c r="C4" s="2" t="s">
        <v>10</v>
      </c>
      <c r="D4" s="2" t="s">
        <v>11</v>
      </c>
      <c r="E4" s="2" t="s">
        <v>14</v>
      </c>
      <c r="F4" s="2">
        <v>435.0</v>
      </c>
      <c r="G4" s="2">
        <v>6706.67</v>
      </c>
      <c r="H4" s="2">
        <v>2917400.0</v>
      </c>
      <c r="I4" s="2">
        <v>347.0</v>
      </c>
    </row>
    <row r="5">
      <c r="A5" s="2">
        <v>1.0</v>
      </c>
      <c r="B5" s="2" t="s">
        <v>9</v>
      </c>
      <c r="C5" s="2" t="s">
        <v>10</v>
      </c>
      <c r="D5" s="2" t="s">
        <v>11</v>
      </c>
      <c r="E5" s="2" t="s">
        <v>15</v>
      </c>
      <c r="F5" s="2">
        <v>875.0</v>
      </c>
      <c r="G5" s="2">
        <v>1157.22</v>
      </c>
      <c r="H5" s="2">
        <v>1012568.0</v>
      </c>
      <c r="I5" s="2">
        <v>825.0</v>
      </c>
    </row>
    <row r="6">
      <c r="A6" s="2">
        <v>1.0</v>
      </c>
      <c r="B6" s="2" t="s">
        <v>9</v>
      </c>
      <c r="C6" s="2" t="s">
        <v>10</v>
      </c>
      <c r="D6" s="2" t="s">
        <v>16</v>
      </c>
      <c r="E6" s="2" t="s">
        <v>12</v>
      </c>
      <c r="F6" s="2">
        <v>789.0</v>
      </c>
      <c r="G6" s="2">
        <v>5344.42</v>
      </c>
      <c r="H6" s="2">
        <v>4216744.0</v>
      </c>
      <c r="I6" s="2">
        <v>627.0</v>
      </c>
    </row>
    <row r="7">
      <c r="A7" s="2">
        <v>1.0</v>
      </c>
      <c r="B7" s="2" t="s">
        <v>9</v>
      </c>
      <c r="C7" s="2" t="s">
        <v>10</v>
      </c>
      <c r="D7" s="2" t="s">
        <v>16</v>
      </c>
      <c r="E7" s="2" t="s">
        <v>13</v>
      </c>
      <c r="F7" s="2">
        <v>163.0</v>
      </c>
      <c r="G7" s="2">
        <v>20885.62</v>
      </c>
      <c r="H7" s="2">
        <v>3404356.0</v>
      </c>
      <c r="I7" s="2">
        <v>133.0</v>
      </c>
    </row>
    <row r="8">
      <c r="A8" s="2">
        <v>1.0</v>
      </c>
      <c r="B8" s="2" t="s">
        <v>9</v>
      </c>
      <c r="C8" s="2" t="s">
        <v>10</v>
      </c>
      <c r="D8" s="2" t="s">
        <v>16</v>
      </c>
      <c r="E8" s="2" t="s">
        <v>14</v>
      </c>
      <c r="F8" s="2">
        <v>334.0</v>
      </c>
      <c r="G8" s="2">
        <v>6519.92</v>
      </c>
      <c r="H8" s="2">
        <v>2177655.0</v>
      </c>
      <c r="I8" s="2">
        <v>241.0</v>
      </c>
    </row>
    <row r="9">
      <c r="A9" s="2">
        <v>1.0</v>
      </c>
      <c r="B9" s="2" t="s">
        <v>9</v>
      </c>
      <c r="C9" s="2" t="s">
        <v>10</v>
      </c>
      <c r="D9" s="2" t="s">
        <v>16</v>
      </c>
      <c r="E9" s="2" t="s">
        <v>15</v>
      </c>
      <c r="F9" s="2">
        <v>739.0</v>
      </c>
      <c r="G9" s="2">
        <v>1294.74</v>
      </c>
      <c r="H9" s="2">
        <v>956816.0</v>
      </c>
      <c r="I9" s="2">
        <v>561.0</v>
      </c>
    </row>
    <row r="10">
      <c r="A10" s="2">
        <v>1.0</v>
      </c>
      <c r="B10" s="2" t="s">
        <v>9</v>
      </c>
      <c r="C10" s="2" t="s">
        <v>10</v>
      </c>
      <c r="D10" s="2" t="s">
        <v>17</v>
      </c>
      <c r="E10" s="2" t="s">
        <v>12</v>
      </c>
      <c r="F10" s="2">
        <v>1054.0</v>
      </c>
      <c r="G10" s="2">
        <v>5526.05</v>
      </c>
      <c r="H10" s="2">
        <v>5824452.0</v>
      </c>
      <c r="I10" s="2">
        <v>783.0</v>
      </c>
    </row>
    <row r="11">
      <c r="A11" s="2">
        <v>1.0</v>
      </c>
      <c r="B11" s="2" t="s">
        <v>9</v>
      </c>
      <c r="C11" s="2" t="s">
        <v>10</v>
      </c>
      <c r="D11" s="2" t="s">
        <v>17</v>
      </c>
      <c r="E11" s="2" t="s">
        <v>13</v>
      </c>
      <c r="F11" s="2">
        <v>180.0</v>
      </c>
      <c r="G11" s="2">
        <v>21798.5</v>
      </c>
      <c r="H11" s="2">
        <v>3923729.0</v>
      </c>
      <c r="I11" s="2">
        <v>137.0</v>
      </c>
    </row>
    <row r="12">
      <c r="A12" s="2">
        <v>1.0</v>
      </c>
      <c r="B12" s="2" t="s">
        <v>9</v>
      </c>
      <c r="C12" s="2" t="s">
        <v>10</v>
      </c>
      <c r="D12" s="2" t="s">
        <v>17</v>
      </c>
      <c r="E12" s="2" t="s">
        <v>14</v>
      </c>
      <c r="F12" s="2">
        <v>201.0</v>
      </c>
      <c r="G12" s="2">
        <v>6286.62</v>
      </c>
      <c r="H12" s="2">
        <v>1263610.0</v>
      </c>
      <c r="I12" s="2">
        <v>169.0</v>
      </c>
    </row>
    <row r="13">
      <c r="A13" s="2">
        <v>1.0</v>
      </c>
      <c r="B13" s="2" t="s">
        <v>9</v>
      </c>
      <c r="C13" s="2" t="s">
        <v>10</v>
      </c>
      <c r="D13" s="2" t="s">
        <v>17</v>
      </c>
      <c r="E13" s="2" t="s">
        <v>15</v>
      </c>
      <c r="F13" s="2">
        <v>876.0</v>
      </c>
      <c r="G13" s="2">
        <v>1164.69</v>
      </c>
      <c r="H13" s="2">
        <v>1020267.0</v>
      </c>
      <c r="I13" s="2">
        <v>825.0</v>
      </c>
    </row>
    <row r="14">
      <c r="A14" s="2">
        <v>1.0</v>
      </c>
      <c r="B14" s="2" t="s">
        <v>9</v>
      </c>
      <c r="C14" s="2" t="s">
        <v>10</v>
      </c>
      <c r="D14" s="2" t="s">
        <v>18</v>
      </c>
      <c r="E14" s="2" t="s">
        <v>12</v>
      </c>
      <c r="F14" s="2">
        <v>1155.0</v>
      </c>
      <c r="G14" s="2">
        <v>5447.69</v>
      </c>
      <c r="H14" s="2">
        <v>6292086.0</v>
      </c>
      <c r="I14" s="2">
        <v>834.0</v>
      </c>
    </row>
    <row r="15">
      <c r="A15" s="2">
        <v>1.0</v>
      </c>
      <c r="B15" s="2" t="s">
        <v>9</v>
      </c>
      <c r="C15" s="2" t="s">
        <v>10</v>
      </c>
      <c r="D15" s="2" t="s">
        <v>18</v>
      </c>
      <c r="E15" s="2" t="s">
        <v>13</v>
      </c>
      <c r="F15" s="2">
        <v>139.0</v>
      </c>
      <c r="G15" s="2">
        <v>21637.09</v>
      </c>
      <c r="H15" s="2">
        <v>3007556.0</v>
      </c>
      <c r="I15" s="2">
        <v>126.0</v>
      </c>
    </row>
    <row r="16">
      <c r="A16" s="2">
        <v>1.0</v>
      </c>
      <c r="B16" s="2" t="s">
        <v>9</v>
      </c>
      <c r="C16" s="2" t="s">
        <v>10</v>
      </c>
      <c r="D16" s="2" t="s">
        <v>18</v>
      </c>
      <c r="E16" s="2" t="s">
        <v>14</v>
      </c>
      <c r="F16" s="2">
        <v>436.0</v>
      </c>
      <c r="G16" s="2">
        <v>6932.11</v>
      </c>
      <c r="H16" s="2">
        <v>3022400.0</v>
      </c>
      <c r="I16" s="2">
        <v>344.0</v>
      </c>
    </row>
    <row r="17">
      <c r="A17" s="2">
        <v>1.0</v>
      </c>
      <c r="B17" s="2" t="s">
        <v>9</v>
      </c>
      <c r="C17" s="2" t="s">
        <v>10</v>
      </c>
      <c r="D17" s="2" t="s">
        <v>18</v>
      </c>
      <c r="E17" s="2" t="s">
        <v>15</v>
      </c>
      <c r="F17" s="2">
        <v>1163.0</v>
      </c>
      <c r="G17" s="2">
        <v>1146.19</v>
      </c>
      <c r="H17" s="2">
        <v>1333014.0</v>
      </c>
      <c r="I17" s="2">
        <v>990.0</v>
      </c>
    </row>
    <row r="18">
      <c r="A18" s="2">
        <v>1.0</v>
      </c>
      <c r="B18" s="2" t="s">
        <v>9</v>
      </c>
      <c r="C18" s="2" t="s">
        <v>10</v>
      </c>
      <c r="D18" s="2" t="s">
        <v>19</v>
      </c>
      <c r="E18" s="2" t="s">
        <v>12</v>
      </c>
      <c r="F18" s="2">
        <v>1092.0</v>
      </c>
      <c r="G18" s="2">
        <v>5364.82</v>
      </c>
      <c r="H18" s="2">
        <v>5858380.0</v>
      </c>
      <c r="I18" s="2">
        <v>784.0</v>
      </c>
    </row>
    <row r="19">
      <c r="A19" s="2">
        <v>1.0</v>
      </c>
      <c r="B19" s="2" t="s">
        <v>9</v>
      </c>
      <c r="C19" s="2" t="s">
        <v>10</v>
      </c>
      <c r="D19" s="2" t="s">
        <v>19</v>
      </c>
      <c r="E19" s="2" t="s">
        <v>13</v>
      </c>
      <c r="F19" s="2">
        <v>170.0</v>
      </c>
      <c r="G19" s="2">
        <v>21191.93</v>
      </c>
      <c r="H19" s="2">
        <v>3602629.0</v>
      </c>
      <c r="I19" s="2">
        <v>136.0</v>
      </c>
    </row>
    <row r="20">
      <c r="A20" s="2">
        <v>1.0</v>
      </c>
      <c r="B20" s="2" t="s">
        <v>9</v>
      </c>
      <c r="C20" s="2" t="s">
        <v>10</v>
      </c>
      <c r="D20" s="2" t="s">
        <v>19</v>
      </c>
      <c r="E20" s="2" t="s">
        <v>14</v>
      </c>
      <c r="F20" s="2">
        <v>328.0</v>
      </c>
      <c r="G20" s="2">
        <v>6874.64</v>
      </c>
      <c r="H20" s="2">
        <v>2254881.0</v>
      </c>
      <c r="I20" s="2">
        <v>289.0</v>
      </c>
    </row>
    <row r="21" ht="15.75" customHeight="1">
      <c r="A21" s="2">
        <v>1.0</v>
      </c>
      <c r="B21" s="2" t="s">
        <v>9</v>
      </c>
      <c r="C21" s="2" t="s">
        <v>10</v>
      </c>
      <c r="D21" s="2" t="s">
        <v>19</v>
      </c>
      <c r="E21" s="2" t="s">
        <v>15</v>
      </c>
      <c r="F21" s="2">
        <v>688.0</v>
      </c>
      <c r="G21" s="2">
        <v>1288.77</v>
      </c>
      <c r="H21" s="2">
        <v>886677.0</v>
      </c>
      <c r="I21" s="2">
        <v>585.0</v>
      </c>
    </row>
    <row r="22" ht="15.75" customHeight="1">
      <c r="A22" s="2">
        <v>1.0</v>
      </c>
      <c r="B22" s="2" t="s">
        <v>9</v>
      </c>
      <c r="C22" s="2" t="s">
        <v>10</v>
      </c>
      <c r="D22" s="2" t="s">
        <v>20</v>
      </c>
      <c r="E22" s="2" t="s">
        <v>12</v>
      </c>
      <c r="F22" s="2">
        <v>1089.0</v>
      </c>
      <c r="G22" s="2">
        <v>5132.16</v>
      </c>
      <c r="H22" s="2">
        <v>5588918.0</v>
      </c>
      <c r="I22" s="2">
        <v>997.0</v>
      </c>
    </row>
    <row r="23" ht="15.75" customHeight="1">
      <c r="A23" s="2">
        <v>1.0</v>
      </c>
      <c r="B23" s="2" t="s">
        <v>9</v>
      </c>
      <c r="C23" s="2" t="s">
        <v>10</v>
      </c>
      <c r="D23" s="2" t="s">
        <v>20</v>
      </c>
      <c r="E23" s="2" t="s">
        <v>13</v>
      </c>
      <c r="F23" s="2">
        <v>171.0</v>
      </c>
      <c r="G23" s="2">
        <v>21252.63</v>
      </c>
      <c r="H23" s="2">
        <v>3634200.0</v>
      </c>
      <c r="I23" s="2">
        <v>138.0</v>
      </c>
    </row>
    <row r="24" ht="15.75" customHeight="1">
      <c r="A24" s="2">
        <v>1.0</v>
      </c>
      <c r="B24" s="2" t="s">
        <v>9</v>
      </c>
      <c r="C24" s="2" t="s">
        <v>10</v>
      </c>
      <c r="D24" s="2" t="s">
        <v>20</v>
      </c>
      <c r="E24" s="2" t="s">
        <v>14</v>
      </c>
      <c r="F24" s="2">
        <v>232.0</v>
      </c>
      <c r="G24" s="2">
        <v>6646.68</v>
      </c>
      <c r="H24" s="2">
        <v>1542030.0</v>
      </c>
      <c r="I24" s="2">
        <v>181.0</v>
      </c>
    </row>
    <row r="25" ht="15.75" customHeight="1">
      <c r="A25" s="2">
        <v>1.0</v>
      </c>
      <c r="B25" s="2" t="s">
        <v>9</v>
      </c>
      <c r="C25" s="2" t="s">
        <v>10</v>
      </c>
      <c r="D25" s="2" t="s">
        <v>20</v>
      </c>
      <c r="E25" s="2" t="s">
        <v>15</v>
      </c>
      <c r="F25" s="2">
        <v>498.0</v>
      </c>
      <c r="G25" s="2">
        <v>1158.96</v>
      </c>
      <c r="H25" s="2">
        <v>577163.0</v>
      </c>
      <c r="I25" s="2">
        <v>422.0</v>
      </c>
    </row>
    <row r="26" ht="15.75" customHeight="1">
      <c r="A26" s="2">
        <v>1.0</v>
      </c>
      <c r="B26" s="2" t="s">
        <v>9</v>
      </c>
      <c r="C26" s="2" t="s">
        <v>10</v>
      </c>
      <c r="D26" s="2" t="s">
        <v>21</v>
      </c>
      <c r="E26" s="2" t="s">
        <v>12</v>
      </c>
      <c r="F26" s="2">
        <v>1146.0</v>
      </c>
      <c r="G26" s="2">
        <v>5092.43</v>
      </c>
      <c r="H26" s="2">
        <v>5835929.0</v>
      </c>
      <c r="I26" s="2">
        <v>1006.0</v>
      </c>
    </row>
    <row r="27" ht="15.75" customHeight="1">
      <c r="A27" s="2">
        <v>1.0</v>
      </c>
      <c r="B27" s="2" t="s">
        <v>9</v>
      </c>
      <c r="C27" s="2" t="s">
        <v>10</v>
      </c>
      <c r="D27" s="2" t="s">
        <v>21</v>
      </c>
      <c r="E27" s="2" t="s">
        <v>13</v>
      </c>
      <c r="F27" s="2">
        <v>100.0</v>
      </c>
      <c r="G27" s="2">
        <v>21439.36</v>
      </c>
      <c r="H27" s="2">
        <v>2143936.0</v>
      </c>
      <c r="I27" s="2">
        <v>88.0</v>
      </c>
    </row>
    <row r="28" ht="15.75" customHeight="1">
      <c r="A28" s="2">
        <v>1.0</v>
      </c>
      <c r="B28" s="2" t="s">
        <v>9</v>
      </c>
      <c r="C28" s="2" t="s">
        <v>10</v>
      </c>
      <c r="D28" s="2" t="s">
        <v>21</v>
      </c>
      <c r="E28" s="2" t="s">
        <v>14</v>
      </c>
      <c r="F28" s="2">
        <v>454.0</v>
      </c>
      <c r="G28" s="2">
        <v>6515.54</v>
      </c>
      <c r="H28" s="2">
        <v>2958054.0</v>
      </c>
      <c r="I28" s="2">
        <v>367.0</v>
      </c>
    </row>
    <row r="29" ht="15.75" customHeight="1">
      <c r="A29" s="2">
        <v>1.0</v>
      </c>
      <c r="B29" s="2" t="s">
        <v>9</v>
      </c>
      <c r="C29" s="2" t="s">
        <v>10</v>
      </c>
      <c r="D29" s="2" t="s">
        <v>21</v>
      </c>
      <c r="E29" s="2" t="s">
        <v>15</v>
      </c>
      <c r="F29" s="2">
        <v>1090.0</v>
      </c>
      <c r="G29" s="2">
        <v>1233.29</v>
      </c>
      <c r="H29" s="2">
        <v>1344285.0</v>
      </c>
      <c r="I29" s="2">
        <v>771.0</v>
      </c>
    </row>
    <row r="30" ht="15.75" customHeight="1">
      <c r="A30" s="2">
        <v>1.0</v>
      </c>
      <c r="B30" s="2" t="s">
        <v>9</v>
      </c>
      <c r="C30" s="2" t="s">
        <v>10</v>
      </c>
      <c r="D30" s="2" t="s">
        <v>22</v>
      </c>
      <c r="E30" s="2" t="s">
        <v>12</v>
      </c>
      <c r="F30" s="2">
        <v>840.0</v>
      </c>
      <c r="G30" s="2">
        <v>5318.35</v>
      </c>
      <c r="H30" s="2">
        <v>4467416.0</v>
      </c>
      <c r="I30" s="2">
        <v>778.0</v>
      </c>
    </row>
    <row r="31" ht="15.75" customHeight="1">
      <c r="A31" s="2">
        <v>1.0</v>
      </c>
      <c r="B31" s="2" t="s">
        <v>9</v>
      </c>
      <c r="C31" s="2" t="s">
        <v>10</v>
      </c>
      <c r="D31" s="2" t="s">
        <v>22</v>
      </c>
      <c r="E31" s="2" t="s">
        <v>13</v>
      </c>
      <c r="F31" s="2">
        <v>242.0</v>
      </c>
      <c r="G31" s="2">
        <v>19909.94</v>
      </c>
      <c r="H31" s="2">
        <v>4818207.0</v>
      </c>
      <c r="I31" s="2">
        <v>215.0</v>
      </c>
    </row>
    <row r="32" ht="15.75" customHeight="1">
      <c r="A32" s="2">
        <v>1.0</v>
      </c>
      <c r="B32" s="2" t="s">
        <v>9</v>
      </c>
      <c r="C32" s="2" t="s">
        <v>10</v>
      </c>
      <c r="D32" s="2" t="s">
        <v>22</v>
      </c>
      <c r="E32" s="2" t="s">
        <v>14</v>
      </c>
      <c r="F32" s="2">
        <v>235.0</v>
      </c>
      <c r="G32" s="2">
        <v>6740.73</v>
      </c>
      <c r="H32" s="2">
        <v>1584071.0</v>
      </c>
      <c r="I32" s="2">
        <v>205.0</v>
      </c>
    </row>
    <row r="33" ht="15.75" customHeight="1">
      <c r="A33" s="2">
        <v>1.0</v>
      </c>
      <c r="B33" s="2" t="s">
        <v>9</v>
      </c>
      <c r="C33" s="2" t="s">
        <v>10</v>
      </c>
      <c r="D33" s="2" t="s">
        <v>22</v>
      </c>
      <c r="E33" s="2" t="s">
        <v>15</v>
      </c>
      <c r="F33" s="2">
        <v>1195.0</v>
      </c>
      <c r="G33" s="2">
        <v>1260.81</v>
      </c>
      <c r="H33" s="2">
        <v>1506667.0</v>
      </c>
      <c r="I33" s="2">
        <v>1114.0</v>
      </c>
    </row>
    <row r="34" ht="15.75" customHeight="1">
      <c r="A34" s="2">
        <v>1.0</v>
      </c>
      <c r="B34" s="2" t="s">
        <v>9</v>
      </c>
      <c r="C34" s="2" t="s">
        <v>10</v>
      </c>
      <c r="D34" s="2" t="s">
        <v>23</v>
      </c>
      <c r="E34" s="2" t="s">
        <v>12</v>
      </c>
      <c r="F34" s="2">
        <v>1156.0</v>
      </c>
      <c r="G34" s="2">
        <v>5177.94</v>
      </c>
      <c r="H34" s="2">
        <v>5985694.0</v>
      </c>
      <c r="I34" s="2">
        <v>941.0</v>
      </c>
    </row>
    <row r="35" ht="15.75" customHeight="1">
      <c r="A35" s="2">
        <v>1.0</v>
      </c>
      <c r="B35" s="2" t="s">
        <v>9</v>
      </c>
      <c r="C35" s="2" t="s">
        <v>10</v>
      </c>
      <c r="D35" s="2" t="s">
        <v>23</v>
      </c>
      <c r="E35" s="2" t="s">
        <v>13</v>
      </c>
      <c r="F35" s="2">
        <v>207.0</v>
      </c>
      <c r="G35" s="2">
        <v>21247.07</v>
      </c>
      <c r="H35" s="2">
        <v>4398143.0</v>
      </c>
      <c r="I35" s="2">
        <v>154.0</v>
      </c>
    </row>
    <row r="36" ht="15.75" customHeight="1">
      <c r="A36" s="2">
        <v>1.0</v>
      </c>
      <c r="B36" s="2" t="s">
        <v>9</v>
      </c>
      <c r="C36" s="2" t="s">
        <v>10</v>
      </c>
      <c r="D36" s="2" t="s">
        <v>23</v>
      </c>
      <c r="E36" s="2" t="s">
        <v>14</v>
      </c>
      <c r="F36" s="2">
        <v>485.0</v>
      </c>
      <c r="G36" s="2">
        <v>6596.78</v>
      </c>
      <c r="H36" s="2">
        <v>3199436.0</v>
      </c>
      <c r="I36" s="2">
        <v>354.0</v>
      </c>
    </row>
    <row r="37" ht="15.75" customHeight="1">
      <c r="A37" s="2">
        <v>1.0</v>
      </c>
      <c r="B37" s="2" t="s">
        <v>9</v>
      </c>
      <c r="C37" s="2" t="s">
        <v>10</v>
      </c>
      <c r="D37" s="2" t="s">
        <v>23</v>
      </c>
      <c r="E37" s="2" t="s">
        <v>15</v>
      </c>
      <c r="F37" s="2">
        <v>872.0</v>
      </c>
      <c r="G37" s="2">
        <v>1275.08</v>
      </c>
      <c r="H37" s="2">
        <v>1111869.0</v>
      </c>
      <c r="I37" s="2">
        <v>679.0</v>
      </c>
    </row>
    <row r="38" ht="15.75" customHeight="1">
      <c r="A38" s="2">
        <v>1.0</v>
      </c>
      <c r="B38" s="2" t="s">
        <v>9</v>
      </c>
      <c r="C38" s="2" t="s">
        <v>10</v>
      </c>
      <c r="D38" s="2" t="s">
        <v>24</v>
      </c>
      <c r="E38" s="2" t="s">
        <v>12</v>
      </c>
      <c r="F38" s="2">
        <v>824.0</v>
      </c>
      <c r="G38" s="2">
        <v>5469.98</v>
      </c>
      <c r="H38" s="2">
        <v>4507267.0</v>
      </c>
      <c r="I38" s="2">
        <v>576.0</v>
      </c>
    </row>
    <row r="39" ht="15.75" customHeight="1">
      <c r="A39" s="2">
        <v>1.0</v>
      </c>
      <c r="B39" s="2" t="s">
        <v>9</v>
      </c>
      <c r="C39" s="2" t="s">
        <v>10</v>
      </c>
      <c r="D39" s="2" t="s">
        <v>24</v>
      </c>
      <c r="E39" s="2" t="s">
        <v>13</v>
      </c>
      <c r="F39" s="2">
        <v>102.0</v>
      </c>
      <c r="G39" s="2">
        <v>20450.94</v>
      </c>
      <c r="H39" s="2">
        <v>2085996.0</v>
      </c>
      <c r="I39" s="2">
        <v>71.0</v>
      </c>
    </row>
    <row r="40" ht="15.75" customHeight="1">
      <c r="A40" s="2">
        <v>1.0</v>
      </c>
      <c r="B40" s="2" t="s">
        <v>9</v>
      </c>
      <c r="C40" s="2" t="s">
        <v>10</v>
      </c>
      <c r="D40" s="2" t="s">
        <v>24</v>
      </c>
      <c r="E40" s="2" t="s">
        <v>14</v>
      </c>
      <c r="F40" s="2">
        <v>336.0</v>
      </c>
      <c r="G40" s="2">
        <v>7283.53</v>
      </c>
      <c r="H40" s="2">
        <v>2447268.0</v>
      </c>
      <c r="I40" s="2">
        <v>257.0</v>
      </c>
    </row>
    <row r="41" ht="15.75" customHeight="1">
      <c r="A41" s="2">
        <v>1.0</v>
      </c>
      <c r="B41" s="2" t="s">
        <v>9</v>
      </c>
      <c r="C41" s="2" t="s">
        <v>10</v>
      </c>
      <c r="D41" s="2" t="s">
        <v>24</v>
      </c>
      <c r="E41" s="2" t="s">
        <v>15</v>
      </c>
      <c r="F41" s="2">
        <v>1063.0</v>
      </c>
      <c r="G41" s="2">
        <v>1184.67</v>
      </c>
      <c r="H41" s="2">
        <v>1259300.0</v>
      </c>
      <c r="I41" s="2">
        <v>994.0</v>
      </c>
    </row>
    <row r="42" ht="15.75" customHeight="1">
      <c r="A42" s="2">
        <v>1.0</v>
      </c>
      <c r="B42" s="2" t="s">
        <v>9</v>
      </c>
      <c r="C42" s="2" t="s">
        <v>10</v>
      </c>
      <c r="D42" s="2" t="s">
        <v>25</v>
      </c>
      <c r="E42" s="2" t="s">
        <v>12</v>
      </c>
      <c r="F42" s="2">
        <v>973.0</v>
      </c>
      <c r="G42" s="2">
        <v>5360.26</v>
      </c>
      <c r="H42" s="2">
        <v>5215537.0</v>
      </c>
      <c r="I42" s="2">
        <v>779.0</v>
      </c>
    </row>
    <row r="43" ht="15.75" customHeight="1">
      <c r="A43" s="2">
        <v>1.0</v>
      </c>
      <c r="B43" s="2" t="s">
        <v>9</v>
      </c>
      <c r="C43" s="2" t="s">
        <v>10</v>
      </c>
      <c r="D43" s="2" t="s">
        <v>25</v>
      </c>
      <c r="E43" s="2" t="s">
        <v>13</v>
      </c>
      <c r="F43" s="2">
        <v>161.0</v>
      </c>
      <c r="G43" s="2">
        <v>20333.19</v>
      </c>
      <c r="H43" s="2">
        <v>3273643.0</v>
      </c>
      <c r="I43" s="2">
        <v>151.0</v>
      </c>
    </row>
    <row r="44" ht="15.75" customHeight="1">
      <c r="A44" s="2">
        <v>1.0</v>
      </c>
      <c r="B44" s="2" t="s">
        <v>9</v>
      </c>
      <c r="C44" s="2" t="s">
        <v>10</v>
      </c>
      <c r="D44" s="2" t="s">
        <v>25</v>
      </c>
      <c r="E44" s="2" t="s">
        <v>14</v>
      </c>
      <c r="F44" s="2">
        <v>251.0</v>
      </c>
      <c r="G44" s="2">
        <v>6945.36</v>
      </c>
      <c r="H44" s="2">
        <v>1743286.0</v>
      </c>
      <c r="I44" s="2">
        <v>220.0</v>
      </c>
    </row>
    <row r="45" ht="15.75" customHeight="1">
      <c r="A45" s="2">
        <v>1.0</v>
      </c>
      <c r="B45" s="2" t="s">
        <v>9</v>
      </c>
      <c r="C45" s="2" t="s">
        <v>10</v>
      </c>
      <c r="D45" s="2" t="s">
        <v>25</v>
      </c>
      <c r="E45" s="2" t="s">
        <v>15</v>
      </c>
      <c r="F45" s="2">
        <v>1012.0</v>
      </c>
      <c r="G45" s="2">
        <v>1094.54</v>
      </c>
      <c r="H45" s="2">
        <v>1107674.0</v>
      </c>
      <c r="I45" s="2">
        <v>780.0</v>
      </c>
    </row>
    <row r="46" ht="15.75" customHeight="1">
      <c r="A46" s="2">
        <v>1.0</v>
      </c>
      <c r="B46" s="2" t="s">
        <v>9</v>
      </c>
      <c r="C46" s="2" t="s">
        <v>10</v>
      </c>
      <c r="D46" s="2" t="s">
        <v>26</v>
      </c>
      <c r="E46" s="2" t="s">
        <v>12</v>
      </c>
      <c r="F46" s="2">
        <v>680.0</v>
      </c>
      <c r="G46" s="2">
        <v>5211.65</v>
      </c>
      <c r="H46" s="2">
        <v>3543920.0</v>
      </c>
      <c r="I46" s="2">
        <v>534.0</v>
      </c>
    </row>
    <row r="47" ht="15.75" customHeight="1">
      <c r="A47" s="2">
        <v>1.0</v>
      </c>
      <c r="B47" s="2" t="s">
        <v>9</v>
      </c>
      <c r="C47" s="2" t="s">
        <v>10</v>
      </c>
      <c r="D47" s="2" t="s">
        <v>26</v>
      </c>
      <c r="E47" s="2" t="s">
        <v>13</v>
      </c>
      <c r="F47" s="2">
        <v>228.0</v>
      </c>
      <c r="G47" s="2">
        <v>21432.67</v>
      </c>
      <c r="H47" s="2">
        <v>4886648.0</v>
      </c>
      <c r="I47" s="2">
        <v>173.0</v>
      </c>
    </row>
    <row r="48" ht="15.75" customHeight="1">
      <c r="A48" s="2">
        <v>1.0</v>
      </c>
      <c r="B48" s="2" t="s">
        <v>9</v>
      </c>
      <c r="C48" s="2" t="s">
        <v>10</v>
      </c>
      <c r="D48" s="2" t="s">
        <v>26</v>
      </c>
      <c r="E48" s="2" t="s">
        <v>14</v>
      </c>
      <c r="F48" s="2">
        <v>329.0</v>
      </c>
      <c r="G48" s="2">
        <v>5950.37</v>
      </c>
      <c r="H48" s="2">
        <v>1957672.0</v>
      </c>
      <c r="I48" s="2">
        <v>275.0</v>
      </c>
    </row>
    <row r="49" ht="15.75" customHeight="1">
      <c r="A49" s="2">
        <v>1.0</v>
      </c>
      <c r="B49" s="2" t="s">
        <v>9</v>
      </c>
      <c r="C49" s="2" t="s">
        <v>10</v>
      </c>
      <c r="D49" s="2" t="s">
        <v>26</v>
      </c>
      <c r="E49" s="2" t="s">
        <v>15</v>
      </c>
      <c r="F49" s="2">
        <v>646.0</v>
      </c>
      <c r="G49" s="2">
        <v>1348.03</v>
      </c>
      <c r="H49" s="2">
        <v>870829.0</v>
      </c>
      <c r="I49" s="2">
        <v>560.0</v>
      </c>
    </row>
    <row r="50" ht="15.75" customHeight="1">
      <c r="A50" s="2">
        <v>2.0</v>
      </c>
      <c r="B50" s="2" t="s">
        <v>27</v>
      </c>
      <c r="C50" s="2" t="s">
        <v>28</v>
      </c>
      <c r="D50" s="2" t="s">
        <v>11</v>
      </c>
      <c r="E50" s="2" t="s">
        <v>12</v>
      </c>
      <c r="F50" s="2">
        <v>802.0</v>
      </c>
      <c r="G50" s="2">
        <v>5035.62</v>
      </c>
      <c r="H50" s="2">
        <v>4038571.0</v>
      </c>
      <c r="I50" s="2">
        <v>722.0</v>
      </c>
    </row>
    <row r="51" ht="15.75" customHeight="1">
      <c r="A51" s="2">
        <v>2.0</v>
      </c>
      <c r="B51" s="2" t="s">
        <v>27</v>
      </c>
      <c r="C51" s="2" t="s">
        <v>28</v>
      </c>
      <c r="D51" s="2" t="s">
        <v>11</v>
      </c>
      <c r="E51" s="2" t="s">
        <v>13</v>
      </c>
      <c r="F51" s="2">
        <v>168.0</v>
      </c>
      <c r="G51" s="2">
        <v>20965.4</v>
      </c>
      <c r="H51" s="2">
        <v>3522188.0</v>
      </c>
      <c r="I51" s="2">
        <v>144.0</v>
      </c>
    </row>
    <row r="52" ht="15.75" customHeight="1">
      <c r="A52" s="2">
        <v>2.0</v>
      </c>
      <c r="B52" s="2" t="s">
        <v>27</v>
      </c>
      <c r="C52" s="2" t="s">
        <v>28</v>
      </c>
      <c r="D52" s="2" t="s">
        <v>11</v>
      </c>
      <c r="E52" s="2" t="s">
        <v>14</v>
      </c>
      <c r="F52" s="2">
        <v>397.0</v>
      </c>
      <c r="G52" s="2">
        <v>7065.42</v>
      </c>
      <c r="H52" s="2">
        <v>2804970.0</v>
      </c>
      <c r="I52" s="2">
        <v>357.0</v>
      </c>
    </row>
    <row r="53" ht="15.75" customHeight="1">
      <c r="A53" s="2">
        <v>2.0</v>
      </c>
      <c r="B53" s="2" t="s">
        <v>27</v>
      </c>
      <c r="C53" s="2" t="s">
        <v>28</v>
      </c>
      <c r="D53" s="2" t="s">
        <v>11</v>
      </c>
      <c r="E53" s="2" t="s">
        <v>15</v>
      </c>
      <c r="F53" s="2">
        <v>600.0</v>
      </c>
      <c r="G53" s="2">
        <v>1161.05</v>
      </c>
      <c r="H53" s="2">
        <v>696633.0</v>
      </c>
      <c r="I53" s="2">
        <v>468.0</v>
      </c>
    </row>
    <row r="54" ht="15.75" customHeight="1">
      <c r="A54" s="2">
        <v>2.0</v>
      </c>
      <c r="B54" s="2" t="s">
        <v>27</v>
      </c>
      <c r="C54" s="2" t="s">
        <v>28</v>
      </c>
      <c r="D54" s="2" t="s">
        <v>16</v>
      </c>
      <c r="E54" s="2" t="s">
        <v>12</v>
      </c>
      <c r="F54" s="2">
        <v>925.0</v>
      </c>
      <c r="G54" s="2">
        <v>5457.93</v>
      </c>
      <c r="H54" s="2">
        <v>5048589.0</v>
      </c>
      <c r="I54" s="2">
        <v>722.0</v>
      </c>
    </row>
    <row r="55" ht="15.75" customHeight="1">
      <c r="A55" s="2">
        <v>2.0</v>
      </c>
      <c r="B55" s="2" t="s">
        <v>27</v>
      </c>
      <c r="C55" s="2" t="s">
        <v>28</v>
      </c>
      <c r="D55" s="2" t="s">
        <v>16</v>
      </c>
      <c r="E55" s="2" t="s">
        <v>13</v>
      </c>
      <c r="F55" s="2">
        <v>246.0</v>
      </c>
      <c r="G55" s="2">
        <v>21845.19</v>
      </c>
      <c r="H55" s="2">
        <v>5373917.0</v>
      </c>
      <c r="I55" s="2">
        <v>215.0</v>
      </c>
    </row>
    <row r="56" ht="15.75" customHeight="1">
      <c r="A56" s="2">
        <v>2.0</v>
      </c>
      <c r="B56" s="2" t="s">
        <v>27</v>
      </c>
      <c r="C56" s="2" t="s">
        <v>28</v>
      </c>
      <c r="D56" s="2" t="s">
        <v>16</v>
      </c>
      <c r="E56" s="2" t="s">
        <v>14</v>
      </c>
      <c r="F56" s="2">
        <v>346.0</v>
      </c>
      <c r="G56" s="2">
        <v>6483.91</v>
      </c>
      <c r="H56" s="2">
        <v>2243433.0</v>
      </c>
      <c r="I56" s="2">
        <v>323.0</v>
      </c>
    </row>
    <row r="57" ht="15.75" customHeight="1">
      <c r="A57" s="2">
        <v>2.0</v>
      </c>
      <c r="B57" s="2" t="s">
        <v>27</v>
      </c>
      <c r="C57" s="2" t="s">
        <v>28</v>
      </c>
      <c r="D57" s="2" t="s">
        <v>16</v>
      </c>
      <c r="E57" s="2" t="s">
        <v>15</v>
      </c>
      <c r="F57" s="2">
        <v>1039.0</v>
      </c>
      <c r="G57" s="2">
        <v>1173.01</v>
      </c>
      <c r="H57" s="2">
        <v>1218754.0</v>
      </c>
      <c r="I57" s="2">
        <v>861.0</v>
      </c>
    </row>
    <row r="58" ht="15.75" customHeight="1">
      <c r="A58" s="2">
        <v>2.0</v>
      </c>
      <c r="B58" s="2" t="s">
        <v>27</v>
      </c>
      <c r="C58" s="2" t="s">
        <v>28</v>
      </c>
      <c r="D58" s="2" t="s">
        <v>17</v>
      </c>
      <c r="E58" s="2" t="s">
        <v>12</v>
      </c>
      <c r="F58" s="2">
        <v>1072.0</v>
      </c>
      <c r="G58" s="2">
        <v>5341.13</v>
      </c>
      <c r="H58" s="2">
        <v>5725691.0</v>
      </c>
      <c r="I58" s="2">
        <v>936.0</v>
      </c>
    </row>
    <row r="59" ht="15.75" customHeight="1">
      <c r="A59" s="2">
        <v>2.0</v>
      </c>
      <c r="B59" s="2" t="s">
        <v>27</v>
      </c>
      <c r="C59" s="2" t="s">
        <v>28</v>
      </c>
      <c r="D59" s="2" t="s">
        <v>17</v>
      </c>
      <c r="E59" s="2" t="s">
        <v>13</v>
      </c>
      <c r="F59" s="2">
        <v>106.0</v>
      </c>
      <c r="G59" s="2">
        <v>20345.21</v>
      </c>
      <c r="H59" s="2">
        <v>2156593.0</v>
      </c>
      <c r="I59" s="2">
        <v>91.0</v>
      </c>
    </row>
    <row r="60" ht="15.75" customHeight="1">
      <c r="A60" s="2">
        <v>2.0</v>
      </c>
      <c r="B60" s="2" t="s">
        <v>27</v>
      </c>
      <c r="C60" s="2" t="s">
        <v>28</v>
      </c>
      <c r="D60" s="2" t="s">
        <v>17</v>
      </c>
      <c r="E60" s="2" t="s">
        <v>14</v>
      </c>
      <c r="F60" s="2">
        <v>311.0</v>
      </c>
      <c r="G60" s="2">
        <v>7109.17</v>
      </c>
      <c r="H60" s="2">
        <v>2210951.0</v>
      </c>
      <c r="I60" s="2">
        <v>236.0</v>
      </c>
    </row>
    <row r="61" ht="15.75" customHeight="1">
      <c r="A61" s="2">
        <v>2.0</v>
      </c>
      <c r="B61" s="2" t="s">
        <v>27</v>
      </c>
      <c r="C61" s="2" t="s">
        <v>28</v>
      </c>
      <c r="D61" s="2" t="s">
        <v>17</v>
      </c>
      <c r="E61" s="2" t="s">
        <v>15</v>
      </c>
      <c r="F61" s="2">
        <v>703.0</v>
      </c>
      <c r="G61" s="2">
        <v>1453.92</v>
      </c>
      <c r="H61" s="2">
        <v>1022103.0</v>
      </c>
      <c r="I61" s="2">
        <v>661.0</v>
      </c>
    </row>
    <row r="62" ht="15.75" customHeight="1">
      <c r="A62" s="2">
        <v>2.0</v>
      </c>
      <c r="B62" s="2" t="s">
        <v>27</v>
      </c>
      <c r="C62" s="2" t="s">
        <v>28</v>
      </c>
      <c r="D62" s="2" t="s">
        <v>18</v>
      </c>
      <c r="E62" s="2" t="s">
        <v>12</v>
      </c>
      <c r="F62" s="2">
        <v>1052.0</v>
      </c>
      <c r="G62" s="2">
        <v>5351.98</v>
      </c>
      <c r="H62" s="2">
        <v>5630279.0</v>
      </c>
      <c r="I62" s="2">
        <v>825.0</v>
      </c>
    </row>
    <row r="63" ht="15.75" customHeight="1">
      <c r="A63" s="2">
        <v>2.0</v>
      </c>
      <c r="B63" s="2" t="s">
        <v>27</v>
      </c>
      <c r="C63" s="2" t="s">
        <v>28</v>
      </c>
      <c r="D63" s="2" t="s">
        <v>18</v>
      </c>
      <c r="E63" s="2" t="s">
        <v>13</v>
      </c>
      <c r="F63" s="2">
        <v>198.0</v>
      </c>
      <c r="G63" s="2">
        <v>22125.46</v>
      </c>
      <c r="H63" s="2">
        <v>4380841.0</v>
      </c>
      <c r="I63" s="2">
        <v>173.0</v>
      </c>
    </row>
    <row r="64" ht="15.75" customHeight="1">
      <c r="A64" s="2">
        <v>2.0</v>
      </c>
      <c r="B64" s="2" t="s">
        <v>27</v>
      </c>
      <c r="C64" s="2" t="s">
        <v>28</v>
      </c>
      <c r="D64" s="2" t="s">
        <v>18</v>
      </c>
      <c r="E64" s="2" t="s">
        <v>14</v>
      </c>
      <c r="F64" s="2">
        <v>407.0</v>
      </c>
      <c r="G64" s="2">
        <v>6885.29</v>
      </c>
      <c r="H64" s="2">
        <v>2802314.0</v>
      </c>
      <c r="I64" s="2">
        <v>293.0</v>
      </c>
    </row>
    <row r="65" ht="15.75" customHeight="1">
      <c r="A65" s="2">
        <v>2.0</v>
      </c>
      <c r="B65" s="2" t="s">
        <v>27</v>
      </c>
      <c r="C65" s="2" t="s">
        <v>28</v>
      </c>
      <c r="D65" s="2" t="s">
        <v>18</v>
      </c>
      <c r="E65" s="2" t="s">
        <v>15</v>
      </c>
      <c r="F65" s="2">
        <v>819.0</v>
      </c>
      <c r="G65" s="2">
        <v>1321.71</v>
      </c>
      <c r="H65" s="2">
        <v>1082478.0</v>
      </c>
      <c r="I65" s="2">
        <v>757.0</v>
      </c>
    </row>
    <row r="66" ht="15.75" customHeight="1">
      <c r="A66" s="2">
        <v>2.0</v>
      </c>
      <c r="B66" s="2" t="s">
        <v>27</v>
      </c>
      <c r="C66" s="2" t="s">
        <v>28</v>
      </c>
      <c r="D66" s="2" t="s">
        <v>19</v>
      </c>
      <c r="E66" s="2" t="s">
        <v>12</v>
      </c>
      <c r="F66" s="2">
        <v>853.0</v>
      </c>
      <c r="G66" s="2">
        <v>5334.97</v>
      </c>
      <c r="H66" s="2">
        <v>4550727.0</v>
      </c>
      <c r="I66" s="2">
        <v>744.0</v>
      </c>
    </row>
    <row r="67" ht="15.75" customHeight="1">
      <c r="A67" s="2">
        <v>2.0</v>
      </c>
      <c r="B67" s="2" t="s">
        <v>27</v>
      </c>
      <c r="C67" s="2" t="s">
        <v>28</v>
      </c>
      <c r="D67" s="2" t="s">
        <v>19</v>
      </c>
      <c r="E67" s="2" t="s">
        <v>13</v>
      </c>
      <c r="F67" s="2">
        <v>167.0</v>
      </c>
      <c r="G67" s="2">
        <v>20526.52</v>
      </c>
      <c r="H67" s="2">
        <v>3427928.0</v>
      </c>
      <c r="I67" s="2">
        <v>126.0</v>
      </c>
    </row>
    <row r="68" ht="15.75" customHeight="1">
      <c r="A68" s="2">
        <v>2.0</v>
      </c>
      <c r="B68" s="2" t="s">
        <v>27</v>
      </c>
      <c r="C68" s="2" t="s">
        <v>28</v>
      </c>
      <c r="D68" s="2" t="s">
        <v>19</v>
      </c>
      <c r="E68" s="2" t="s">
        <v>14</v>
      </c>
      <c r="F68" s="2">
        <v>476.0</v>
      </c>
      <c r="G68" s="2">
        <v>6561.24</v>
      </c>
      <c r="H68" s="2">
        <v>3123151.0</v>
      </c>
      <c r="I68" s="2">
        <v>421.0</v>
      </c>
    </row>
    <row r="69" ht="15.75" customHeight="1">
      <c r="A69" s="2">
        <v>2.0</v>
      </c>
      <c r="B69" s="2" t="s">
        <v>27</v>
      </c>
      <c r="C69" s="2" t="s">
        <v>28</v>
      </c>
      <c r="D69" s="2" t="s">
        <v>19</v>
      </c>
      <c r="E69" s="2" t="s">
        <v>15</v>
      </c>
      <c r="F69" s="2">
        <v>594.0</v>
      </c>
      <c r="G69" s="2">
        <v>1088.75</v>
      </c>
      <c r="H69" s="2">
        <v>646718.0</v>
      </c>
      <c r="I69" s="2">
        <v>513.0</v>
      </c>
    </row>
    <row r="70" ht="15.75" customHeight="1">
      <c r="A70" s="2">
        <v>2.0</v>
      </c>
      <c r="B70" s="2" t="s">
        <v>27</v>
      </c>
      <c r="C70" s="2" t="s">
        <v>28</v>
      </c>
      <c r="D70" s="2" t="s">
        <v>20</v>
      </c>
      <c r="E70" s="2" t="s">
        <v>12</v>
      </c>
      <c r="F70" s="2">
        <v>632.0</v>
      </c>
      <c r="G70" s="2">
        <v>5426.85</v>
      </c>
      <c r="H70" s="2">
        <v>3429768.0</v>
      </c>
      <c r="I70" s="2">
        <v>542.0</v>
      </c>
    </row>
    <row r="71" ht="15.75" customHeight="1">
      <c r="A71" s="2">
        <v>2.0</v>
      </c>
      <c r="B71" s="2" t="s">
        <v>27</v>
      </c>
      <c r="C71" s="2" t="s">
        <v>28</v>
      </c>
      <c r="D71" s="2" t="s">
        <v>20</v>
      </c>
      <c r="E71" s="2" t="s">
        <v>13</v>
      </c>
      <c r="F71" s="2">
        <v>121.0</v>
      </c>
      <c r="G71" s="2">
        <v>23948.88</v>
      </c>
      <c r="H71" s="2">
        <v>2897814.0</v>
      </c>
      <c r="I71" s="2">
        <v>92.0</v>
      </c>
    </row>
    <row r="72" ht="15.75" customHeight="1">
      <c r="A72" s="2">
        <v>2.0</v>
      </c>
      <c r="B72" s="2" t="s">
        <v>27</v>
      </c>
      <c r="C72" s="2" t="s">
        <v>28</v>
      </c>
      <c r="D72" s="2" t="s">
        <v>20</v>
      </c>
      <c r="E72" s="2" t="s">
        <v>14</v>
      </c>
      <c r="F72" s="2">
        <v>237.0</v>
      </c>
      <c r="G72" s="2">
        <v>6696.57</v>
      </c>
      <c r="H72" s="2">
        <v>1587086.0</v>
      </c>
      <c r="I72" s="2">
        <v>219.0</v>
      </c>
    </row>
    <row r="73" ht="15.75" customHeight="1">
      <c r="A73" s="2">
        <v>2.0</v>
      </c>
      <c r="B73" s="2" t="s">
        <v>27</v>
      </c>
      <c r="C73" s="2" t="s">
        <v>28</v>
      </c>
      <c r="D73" s="2" t="s">
        <v>20</v>
      </c>
      <c r="E73" s="2" t="s">
        <v>15</v>
      </c>
      <c r="F73" s="2">
        <v>426.0</v>
      </c>
      <c r="G73" s="2">
        <v>1241.34</v>
      </c>
      <c r="H73" s="2">
        <v>528809.0</v>
      </c>
      <c r="I73" s="2">
        <v>382.0</v>
      </c>
    </row>
    <row r="74" ht="15.75" customHeight="1">
      <c r="A74" s="2">
        <v>2.0</v>
      </c>
      <c r="B74" s="2" t="s">
        <v>27</v>
      </c>
      <c r="C74" s="2" t="s">
        <v>28</v>
      </c>
      <c r="D74" s="2" t="s">
        <v>21</v>
      </c>
      <c r="E74" s="2" t="s">
        <v>12</v>
      </c>
      <c r="F74" s="2">
        <v>883.0</v>
      </c>
      <c r="G74" s="2">
        <v>5470.02</v>
      </c>
      <c r="H74" s="2">
        <v>4830031.0</v>
      </c>
      <c r="I74" s="2">
        <v>668.0</v>
      </c>
    </row>
    <row r="75" ht="15.75" customHeight="1">
      <c r="A75" s="2">
        <v>2.0</v>
      </c>
      <c r="B75" s="2" t="s">
        <v>27</v>
      </c>
      <c r="C75" s="2" t="s">
        <v>28</v>
      </c>
      <c r="D75" s="2" t="s">
        <v>21</v>
      </c>
      <c r="E75" s="2" t="s">
        <v>13</v>
      </c>
      <c r="F75" s="2">
        <v>147.0</v>
      </c>
      <c r="G75" s="2">
        <v>21815.47</v>
      </c>
      <c r="H75" s="2">
        <v>3206874.0</v>
      </c>
      <c r="I75" s="2">
        <v>113.0</v>
      </c>
    </row>
    <row r="76" ht="15.75" customHeight="1">
      <c r="A76" s="2">
        <v>2.0</v>
      </c>
      <c r="B76" s="2" t="s">
        <v>27</v>
      </c>
      <c r="C76" s="2" t="s">
        <v>28</v>
      </c>
      <c r="D76" s="2" t="s">
        <v>21</v>
      </c>
      <c r="E76" s="2" t="s">
        <v>14</v>
      </c>
      <c r="F76" s="2">
        <v>234.0</v>
      </c>
      <c r="G76" s="2">
        <v>6696.53</v>
      </c>
      <c r="H76" s="2">
        <v>1566987.0</v>
      </c>
      <c r="I76" s="2">
        <v>180.0</v>
      </c>
    </row>
    <row r="77" ht="15.75" customHeight="1">
      <c r="A77" s="2">
        <v>2.0</v>
      </c>
      <c r="B77" s="2" t="s">
        <v>27</v>
      </c>
      <c r="C77" s="2" t="s">
        <v>28</v>
      </c>
      <c r="D77" s="2" t="s">
        <v>21</v>
      </c>
      <c r="E77" s="2" t="s">
        <v>15</v>
      </c>
      <c r="F77" s="2">
        <v>917.0</v>
      </c>
      <c r="G77" s="2">
        <v>1219.06</v>
      </c>
      <c r="H77" s="2">
        <v>1117878.0</v>
      </c>
      <c r="I77" s="2">
        <v>726.0</v>
      </c>
    </row>
    <row r="78" ht="15.75" customHeight="1">
      <c r="A78" s="2">
        <v>2.0</v>
      </c>
      <c r="B78" s="2" t="s">
        <v>27</v>
      </c>
      <c r="C78" s="2" t="s">
        <v>28</v>
      </c>
      <c r="D78" s="2" t="s">
        <v>22</v>
      </c>
      <c r="E78" s="2" t="s">
        <v>12</v>
      </c>
      <c r="F78" s="2">
        <v>636.0</v>
      </c>
      <c r="G78" s="2">
        <v>5275.17</v>
      </c>
      <c r="H78" s="2">
        <v>3355010.0</v>
      </c>
      <c r="I78" s="2">
        <v>598.0</v>
      </c>
    </row>
    <row r="79" ht="15.75" customHeight="1">
      <c r="A79" s="2">
        <v>2.0</v>
      </c>
      <c r="B79" s="2" t="s">
        <v>27</v>
      </c>
      <c r="C79" s="2" t="s">
        <v>28</v>
      </c>
      <c r="D79" s="2" t="s">
        <v>22</v>
      </c>
      <c r="E79" s="2" t="s">
        <v>13</v>
      </c>
      <c r="F79" s="2">
        <v>198.0</v>
      </c>
      <c r="G79" s="2">
        <v>22092.27</v>
      </c>
      <c r="H79" s="2">
        <v>4374270.0</v>
      </c>
      <c r="I79" s="2">
        <v>187.0</v>
      </c>
    </row>
    <row r="80" ht="15.75" customHeight="1">
      <c r="A80" s="2">
        <v>2.0</v>
      </c>
      <c r="B80" s="2" t="s">
        <v>27</v>
      </c>
      <c r="C80" s="2" t="s">
        <v>28</v>
      </c>
      <c r="D80" s="2" t="s">
        <v>22</v>
      </c>
      <c r="E80" s="2" t="s">
        <v>14</v>
      </c>
      <c r="F80" s="2">
        <v>315.0</v>
      </c>
      <c r="G80" s="2">
        <v>6445.96</v>
      </c>
      <c r="H80" s="2">
        <v>2030478.0</v>
      </c>
      <c r="I80" s="2">
        <v>287.0</v>
      </c>
    </row>
    <row r="81" ht="15.75" customHeight="1">
      <c r="A81" s="2">
        <v>2.0</v>
      </c>
      <c r="B81" s="2" t="s">
        <v>27</v>
      </c>
      <c r="C81" s="2" t="s">
        <v>28</v>
      </c>
      <c r="D81" s="2" t="s">
        <v>22</v>
      </c>
      <c r="E81" s="2" t="s">
        <v>15</v>
      </c>
      <c r="F81" s="2">
        <v>655.0</v>
      </c>
      <c r="G81" s="2">
        <v>1048.52</v>
      </c>
      <c r="H81" s="2">
        <v>686778.0</v>
      </c>
      <c r="I81" s="2">
        <v>537.0</v>
      </c>
    </row>
    <row r="82" ht="15.75" customHeight="1">
      <c r="A82" s="2">
        <v>2.0</v>
      </c>
      <c r="B82" s="2" t="s">
        <v>27</v>
      </c>
      <c r="C82" s="2" t="s">
        <v>28</v>
      </c>
      <c r="D82" s="2" t="s">
        <v>23</v>
      </c>
      <c r="E82" s="2" t="s">
        <v>12</v>
      </c>
      <c r="F82" s="2">
        <v>617.0</v>
      </c>
      <c r="G82" s="2">
        <v>5442.02</v>
      </c>
      <c r="H82" s="2">
        <v>3357727.0</v>
      </c>
      <c r="I82" s="2">
        <v>539.0</v>
      </c>
    </row>
    <row r="83" ht="15.75" customHeight="1">
      <c r="A83" s="2">
        <v>2.0</v>
      </c>
      <c r="B83" s="2" t="s">
        <v>27</v>
      </c>
      <c r="C83" s="2" t="s">
        <v>28</v>
      </c>
      <c r="D83" s="2" t="s">
        <v>23</v>
      </c>
      <c r="E83" s="2" t="s">
        <v>13</v>
      </c>
      <c r="F83" s="2">
        <v>203.0</v>
      </c>
      <c r="G83" s="2">
        <v>21573.98</v>
      </c>
      <c r="H83" s="2">
        <v>4379519.0</v>
      </c>
      <c r="I83" s="2">
        <v>145.0</v>
      </c>
    </row>
    <row r="84" ht="15.75" customHeight="1">
      <c r="A84" s="2">
        <v>2.0</v>
      </c>
      <c r="B84" s="2" t="s">
        <v>27</v>
      </c>
      <c r="C84" s="2" t="s">
        <v>28</v>
      </c>
      <c r="D84" s="2" t="s">
        <v>23</v>
      </c>
      <c r="E84" s="2" t="s">
        <v>14</v>
      </c>
      <c r="F84" s="2">
        <v>313.0</v>
      </c>
      <c r="G84" s="2">
        <v>6717.46</v>
      </c>
      <c r="H84" s="2">
        <v>2102566.0</v>
      </c>
      <c r="I84" s="2">
        <v>287.0</v>
      </c>
    </row>
    <row r="85" ht="15.75" customHeight="1">
      <c r="A85" s="2">
        <v>2.0</v>
      </c>
      <c r="B85" s="2" t="s">
        <v>27</v>
      </c>
      <c r="C85" s="2" t="s">
        <v>28</v>
      </c>
      <c r="D85" s="2" t="s">
        <v>23</v>
      </c>
      <c r="E85" s="2" t="s">
        <v>15</v>
      </c>
      <c r="F85" s="2">
        <v>1184.0</v>
      </c>
      <c r="G85" s="2">
        <v>1085.7</v>
      </c>
      <c r="H85" s="2">
        <v>1285472.0</v>
      </c>
      <c r="I85" s="2">
        <v>1080.0</v>
      </c>
    </row>
    <row r="86" ht="15.75" customHeight="1">
      <c r="A86" s="2">
        <v>2.0</v>
      </c>
      <c r="B86" s="2" t="s">
        <v>27</v>
      </c>
      <c r="C86" s="2" t="s">
        <v>28</v>
      </c>
      <c r="D86" s="2" t="s">
        <v>24</v>
      </c>
      <c r="E86" s="2" t="s">
        <v>12</v>
      </c>
      <c r="F86" s="2">
        <v>992.0</v>
      </c>
      <c r="G86" s="2">
        <v>5108.2</v>
      </c>
      <c r="H86" s="2">
        <v>5067333.0</v>
      </c>
      <c r="I86" s="2">
        <v>767.0</v>
      </c>
    </row>
    <row r="87" ht="15.75" customHeight="1">
      <c r="A87" s="2">
        <v>2.0</v>
      </c>
      <c r="B87" s="2" t="s">
        <v>27</v>
      </c>
      <c r="C87" s="2" t="s">
        <v>28</v>
      </c>
      <c r="D87" s="2" t="s">
        <v>24</v>
      </c>
      <c r="E87" s="2" t="s">
        <v>13</v>
      </c>
      <c r="F87" s="2">
        <v>125.0</v>
      </c>
      <c r="G87" s="2">
        <v>22605.6</v>
      </c>
      <c r="H87" s="2">
        <v>2825700.0</v>
      </c>
      <c r="I87" s="2">
        <v>112.0</v>
      </c>
    </row>
    <row r="88" ht="15.75" customHeight="1">
      <c r="A88" s="2">
        <v>2.0</v>
      </c>
      <c r="B88" s="2" t="s">
        <v>27</v>
      </c>
      <c r="C88" s="2" t="s">
        <v>28</v>
      </c>
      <c r="D88" s="2" t="s">
        <v>24</v>
      </c>
      <c r="E88" s="2" t="s">
        <v>14</v>
      </c>
      <c r="F88" s="2">
        <v>212.0</v>
      </c>
      <c r="G88" s="2">
        <v>6345.02</v>
      </c>
      <c r="H88" s="2">
        <v>1345144.0</v>
      </c>
      <c r="I88" s="2">
        <v>152.0</v>
      </c>
    </row>
    <row r="89" ht="15.75" customHeight="1">
      <c r="A89" s="2">
        <v>2.0</v>
      </c>
      <c r="B89" s="2" t="s">
        <v>27</v>
      </c>
      <c r="C89" s="2" t="s">
        <v>28</v>
      </c>
      <c r="D89" s="2" t="s">
        <v>24</v>
      </c>
      <c r="E89" s="2" t="s">
        <v>15</v>
      </c>
      <c r="F89" s="2">
        <v>799.0</v>
      </c>
      <c r="G89" s="2">
        <v>1249.5</v>
      </c>
      <c r="H89" s="2">
        <v>998350.0</v>
      </c>
      <c r="I89" s="2">
        <v>569.0</v>
      </c>
    </row>
    <row r="90" ht="15.75" customHeight="1">
      <c r="A90" s="2">
        <v>2.0</v>
      </c>
      <c r="B90" s="2" t="s">
        <v>27</v>
      </c>
      <c r="C90" s="2" t="s">
        <v>28</v>
      </c>
      <c r="D90" s="2" t="s">
        <v>25</v>
      </c>
      <c r="E90" s="2" t="s">
        <v>12</v>
      </c>
      <c r="F90" s="2">
        <v>1070.0</v>
      </c>
      <c r="G90" s="2">
        <v>5313.67</v>
      </c>
      <c r="H90" s="2">
        <v>5685627.0</v>
      </c>
      <c r="I90" s="2">
        <v>866.0</v>
      </c>
    </row>
    <row r="91" ht="15.75" customHeight="1">
      <c r="A91" s="2">
        <v>2.0</v>
      </c>
      <c r="B91" s="2" t="s">
        <v>27</v>
      </c>
      <c r="C91" s="2" t="s">
        <v>28</v>
      </c>
      <c r="D91" s="2" t="s">
        <v>25</v>
      </c>
      <c r="E91" s="2" t="s">
        <v>13</v>
      </c>
      <c r="F91" s="2">
        <v>185.0</v>
      </c>
      <c r="G91" s="2">
        <v>21172.47</v>
      </c>
      <c r="H91" s="2">
        <v>3916907.0</v>
      </c>
      <c r="I91" s="2">
        <v>144.0</v>
      </c>
    </row>
    <row r="92" ht="15.75" customHeight="1">
      <c r="A92" s="2">
        <v>2.0</v>
      </c>
      <c r="B92" s="2" t="s">
        <v>27</v>
      </c>
      <c r="C92" s="2" t="s">
        <v>28</v>
      </c>
      <c r="D92" s="2" t="s">
        <v>25</v>
      </c>
      <c r="E92" s="2" t="s">
        <v>14</v>
      </c>
      <c r="F92" s="2">
        <v>385.0</v>
      </c>
      <c r="G92" s="2">
        <v>6163.45</v>
      </c>
      <c r="H92" s="2">
        <v>2372929.0</v>
      </c>
      <c r="I92" s="2">
        <v>326.0</v>
      </c>
    </row>
    <row r="93" ht="15.75" customHeight="1">
      <c r="A93" s="2">
        <v>2.0</v>
      </c>
      <c r="B93" s="2" t="s">
        <v>27</v>
      </c>
      <c r="C93" s="2" t="s">
        <v>28</v>
      </c>
      <c r="D93" s="2" t="s">
        <v>25</v>
      </c>
      <c r="E93" s="2" t="s">
        <v>15</v>
      </c>
      <c r="F93" s="2">
        <v>741.0</v>
      </c>
      <c r="G93" s="2">
        <v>1235.73</v>
      </c>
      <c r="H93" s="2">
        <v>915676.0</v>
      </c>
      <c r="I93" s="2">
        <v>565.0</v>
      </c>
    </row>
    <row r="94" ht="15.75" customHeight="1">
      <c r="A94" s="2">
        <v>2.0</v>
      </c>
      <c r="B94" s="2" t="s">
        <v>27</v>
      </c>
      <c r="C94" s="2" t="s">
        <v>28</v>
      </c>
      <c r="D94" s="2" t="s">
        <v>26</v>
      </c>
      <c r="E94" s="2" t="s">
        <v>12</v>
      </c>
      <c r="F94" s="2">
        <v>653.0</v>
      </c>
      <c r="G94" s="2">
        <v>4901.69</v>
      </c>
      <c r="H94" s="2">
        <v>3200805.0</v>
      </c>
      <c r="I94" s="2">
        <v>592.0</v>
      </c>
    </row>
    <row r="95" ht="15.75" customHeight="1">
      <c r="A95" s="2">
        <v>2.0</v>
      </c>
      <c r="B95" s="2" t="s">
        <v>27</v>
      </c>
      <c r="C95" s="2" t="s">
        <v>28</v>
      </c>
      <c r="D95" s="2" t="s">
        <v>26</v>
      </c>
      <c r="E95" s="2" t="s">
        <v>13</v>
      </c>
      <c r="F95" s="2">
        <v>159.0</v>
      </c>
      <c r="G95" s="2">
        <v>21840.82</v>
      </c>
      <c r="H95" s="2">
        <v>3472690.0</v>
      </c>
      <c r="I95" s="2">
        <v>119.0</v>
      </c>
    </row>
    <row r="96" ht="15.75" customHeight="1">
      <c r="A96" s="2">
        <v>2.0</v>
      </c>
      <c r="B96" s="2" t="s">
        <v>27</v>
      </c>
      <c r="C96" s="2" t="s">
        <v>28</v>
      </c>
      <c r="D96" s="2" t="s">
        <v>26</v>
      </c>
      <c r="E96" s="2" t="s">
        <v>14</v>
      </c>
      <c r="F96" s="2">
        <v>204.0</v>
      </c>
      <c r="G96" s="2">
        <v>7063.12</v>
      </c>
      <c r="H96" s="2">
        <v>1440876.0</v>
      </c>
      <c r="I96" s="2">
        <v>152.0</v>
      </c>
    </row>
    <row r="97" ht="15.75" customHeight="1">
      <c r="A97" s="2">
        <v>2.0</v>
      </c>
      <c r="B97" s="2" t="s">
        <v>27</v>
      </c>
      <c r="C97" s="2" t="s">
        <v>28</v>
      </c>
      <c r="D97" s="2" t="s">
        <v>26</v>
      </c>
      <c r="E97" s="2" t="s">
        <v>15</v>
      </c>
      <c r="F97" s="2">
        <v>749.0</v>
      </c>
      <c r="G97" s="2">
        <v>1184.88</v>
      </c>
      <c r="H97" s="2">
        <v>887472.0</v>
      </c>
      <c r="I97" s="2">
        <v>625.0</v>
      </c>
    </row>
    <row r="98" ht="15.75" customHeight="1">
      <c r="A98" s="2">
        <v>3.0</v>
      </c>
      <c r="B98" s="2" t="s">
        <v>29</v>
      </c>
      <c r="C98" s="2" t="s">
        <v>30</v>
      </c>
      <c r="D98" s="2" t="s">
        <v>11</v>
      </c>
      <c r="E98" s="2" t="s">
        <v>12</v>
      </c>
      <c r="F98" s="2">
        <v>868.0</v>
      </c>
      <c r="G98" s="2">
        <v>5278.56</v>
      </c>
      <c r="H98" s="2">
        <v>4581791.0</v>
      </c>
      <c r="I98" s="2">
        <v>701.0</v>
      </c>
    </row>
    <row r="99" ht="15.75" customHeight="1">
      <c r="A99" s="2">
        <v>3.0</v>
      </c>
      <c r="B99" s="2" t="s">
        <v>29</v>
      </c>
      <c r="C99" s="2" t="s">
        <v>30</v>
      </c>
      <c r="D99" s="2" t="s">
        <v>11</v>
      </c>
      <c r="E99" s="2" t="s">
        <v>13</v>
      </c>
      <c r="F99" s="2">
        <v>157.0</v>
      </c>
      <c r="G99" s="2">
        <v>21111.03</v>
      </c>
      <c r="H99" s="2">
        <v>3314431.0</v>
      </c>
      <c r="I99" s="2">
        <v>112.0</v>
      </c>
    </row>
    <row r="100" ht="15.75" customHeight="1">
      <c r="A100" s="2">
        <v>3.0</v>
      </c>
      <c r="B100" s="2" t="s">
        <v>29</v>
      </c>
      <c r="C100" s="2" t="s">
        <v>30</v>
      </c>
      <c r="D100" s="2" t="s">
        <v>11</v>
      </c>
      <c r="E100" s="2" t="s">
        <v>14</v>
      </c>
      <c r="F100" s="2">
        <v>428.0</v>
      </c>
      <c r="G100" s="2">
        <v>7234.39</v>
      </c>
      <c r="H100" s="2">
        <v>3096318.0</v>
      </c>
      <c r="I100" s="2">
        <v>305.0</v>
      </c>
    </row>
    <row r="101" ht="15.75" customHeight="1">
      <c r="A101" s="2">
        <v>3.0</v>
      </c>
      <c r="B101" s="2" t="s">
        <v>29</v>
      </c>
      <c r="C101" s="2" t="s">
        <v>30</v>
      </c>
      <c r="D101" s="2" t="s">
        <v>11</v>
      </c>
      <c r="E101" s="2" t="s">
        <v>15</v>
      </c>
      <c r="F101" s="2">
        <v>1033.0</v>
      </c>
      <c r="G101" s="2">
        <v>1132.26</v>
      </c>
      <c r="H101" s="2">
        <v>1169623.0</v>
      </c>
      <c r="I101" s="2">
        <v>763.0</v>
      </c>
    </row>
    <row r="102" ht="15.75" customHeight="1">
      <c r="A102" s="2">
        <v>3.0</v>
      </c>
      <c r="B102" s="2" t="s">
        <v>29</v>
      </c>
      <c r="C102" s="2" t="s">
        <v>30</v>
      </c>
      <c r="D102" s="2" t="s">
        <v>16</v>
      </c>
      <c r="E102" s="2" t="s">
        <v>12</v>
      </c>
      <c r="F102" s="2">
        <v>695.0</v>
      </c>
      <c r="G102" s="2">
        <v>5653.09</v>
      </c>
      <c r="H102" s="2">
        <v>3928898.0</v>
      </c>
      <c r="I102" s="2">
        <v>601.0</v>
      </c>
    </row>
    <row r="103" ht="15.75" customHeight="1">
      <c r="A103" s="2">
        <v>3.0</v>
      </c>
      <c r="B103" s="2" t="s">
        <v>29</v>
      </c>
      <c r="C103" s="2" t="s">
        <v>30</v>
      </c>
      <c r="D103" s="2" t="s">
        <v>16</v>
      </c>
      <c r="E103" s="2" t="s">
        <v>13</v>
      </c>
      <c r="F103" s="2">
        <v>216.0</v>
      </c>
      <c r="G103" s="2">
        <v>21823.99</v>
      </c>
      <c r="H103" s="2">
        <v>4713981.0</v>
      </c>
      <c r="I103" s="2">
        <v>185.0</v>
      </c>
    </row>
    <row r="104" ht="15.75" customHeight="1">
      <c r="A104" s="2">
        <v>3.0</v>
      </c>
      <c r="B104" s="2" t="s">
        <v>29</v>
      </c>
      <c r="C104" s="2" t="s">
        <v>30</v>
      </c>
      <c r="D104" s="2" t="s">
        <v>16</v>
      </c>
      <c r="E104" s="2" t="s">
        <v>14</v>
      </c>
      <c r="F104" s="2">
        <v>388.0</v>
      </c>
      <c r="G104" s="2">
        <v>6813.19</v>
      </c>
      <c r="H104" s="2">
        <v>2643517.0</v>
      </c>
      <c r="I104" s="2">
        <v>330.0</v>
      </c>
    </row>
    <row r="105" ht="15.75" customHeight="1">
      <c r="A105" s="2">
        <v>3.0</v>
      </c>
      <c r="B105" s="2" t="s">
        <v>29</v>
      </c>
      <c r="C105" s="2" t="s">
        <v>30</v>
      </c>
      <c r="D105" s="2" t="s">
        <v>16</v>
      </c>
      <c r="E105" s="2" t="s">
        <v>15</v>
      </c>
      <c r="F105" s="2">
        <v>646.0</v>
      </c>
      <c r="G105" s="2">
        <v>1365.14</v>
      </c>
      <c r="H105" s="2">
        <v>881877.0</v>
      </c>
      <c r="I105" s="2">
        <v>459.0</v>
      </c>
    </row>
    <row r="106" ht="15.75" customHeight="1">
      <c r="A106" s="2">
        <v>3.0</v>
      </c>
      <c r="B106" s="2" t="s">
        <v>29</v>
      </c>
      <c r="C106" s="2" t="s">
        <v>30</v>
      </c>
      <c r="D106" s="2" t="s">
        <v>17</v>
      </c>
      <c r="E106" s="2" t="s">
        <v>12</v>
      </c>
      <c r="F106" s="2">
        <v>753.0</v>
      </c>
      <c r="G106" s="2">
        <v>5553.38</v>
      </c>
      <c r="H106" s="2">
        <v>4181697.0</v>
      </c>
      <c r="I106" s="2">
        <v>529.0</v>
      </c>
    </row>
    <row r="107" ht="15.75" customHeight="1">
      <c r="A107" s="2">
        <v>3.0</v>
      </c>
      <c r="B107" s="2" t="s">
        <v>29</v>
      </c>
      <c r="C107" s="2" t="s">
        <v>30</v>
      </c>
      <c r="D107" s="2" t="s">
        <v>17</v>
      </c>
      <c r="E107" s="2" t="s">
        <v>13</v>
      </c>
      <c r="F107" s="2">
        <v>168.0</v>
      </c>
      <c r="G107" s="2">
        <v>20933.86</v>
      </c>
      <c r="H107" s="2">
        <v>3516889.0</v>
      </c>
      <c r="I107" s="2">
        <v>121.0</v>
      </c>
    </row>
    <row r="108" ht="15.75" customHeight="1">
      <c r="A108" s="2">
        <v>3.0</v>
      </c>
      <c r="B108" s="2" t="s">
        <v>29</v>
      </c>
      <c r="C108" s="2" t="s">
        <v>30</v>
      </c>
      <c r="D108" s="2" t="s">
        <v>17</v>
      </c>
      <c r="E108" s="2" t="s">
        <v>14</v>
      </c>
      <c r="F108" s="2">
        <v>293.0</v>
      </c>
      <c r="G108" s="2">
        <v>6833.15</v>
      </c>
      <c r="H108" s="2">
        <v>2002112.0</v>
      </c>
      <c r="I108" s="2">
        <v>239.0</v>
      </c>
    </row>
    <row r="109" ht="15.75" customHeight="1">
      <c r="A109" s="2">
        <v>3.0</v>
      </c>
      <c r="B109" s="2" t="s">
        <v>29</v>
      </c>
      <c r="C109" s="2" t="s">
        <v>30</v>
      </c>
      <c r="D109" s="2" t="s">
        <v>17</v>
      </c>
      <c r="E109" s="2" t="s">
        <v>15</v>
      </c>
      <c r="F109" s="2">
        <v>617.0</v>
      </c>
      <c r="G109" s="2">
        <v>1277.46</v>
      </c>
      <c r="H109" s="2">
        <v>788195.0</v>
      </c>
      <c r="I109" s="2">
        <v>549.0</v>
      </c>
    </row>
    <row r="110" ht="15.75" customHeight="1">
      <c r="A110" s="2">
        <v>3.0</v>
      </c>
      <c r="B110" s="2" t="s">
        <v>29</v>
      </c>
      <c r="C110" s="2" t="s">
        <v>30</v>
      </c>
      <c r="D110" s="2" t="s">
        <v>18</v>
      </c>
      <c r="E110" s="2" t="s">
        <v>12</v>
      </c>
      <c r="F110" s="2">
        <v>940.0</v>
      </c>
      <c r="G110" s="2">
        <v>5041.01</v>
      </c>
      <c r="H110" s="2">
        <v>4738551.0</v>
      </c>
      <c r="I110" s="2">
        <v>759.0</v>
      </c>
    </row>
    <row r="111" ht="15.75" customHeight="1">
      <c r="A111" s="2">
        <v>3.0</v>
      </c>
      <c r="B111" s="2" t="s">
        <v>29</v>
      </c>
      <c r="C111" s="2" t="s">
        <v>30</v>
      </c>
      <c r="D111" s="2" t="s">
        <v>18</v>
      </c>
      <c r="E111" s="2" t="s">
        <v>13</v>
      </c>
      <c r="F111" s="2">
        <v>122.0</v>
      </c>
      <c r="G111" s="2">
        <v>21415.91</v>
      </c>
      <c r="H111" s="2">
        <v>2612740.0</v>
      </c>
      <c r="I111" s="2">
        <v>86.0</v>
      </c>
    </row>
    <row r="112" ht="15.75" customHeight="1">
      <c r="A112" s="2">
        <v>3.0</v>
      </c>
      <c r="B112" s="2" t="s">
        <v>29</v>
      </c>
      <c r="C112" s="2" t="s">
        <v>30</v>
      </c>
      <c r="D112" s="2" t="s">
        <v>18</v>
      </c>
      <c r="E112" s="2" t="s">
        <v>14</v>
      </c>
      <c r="F112" s="2">
        <v>445.0</v>
      </c>
      <c r="G112" s="2">
        <v>6567.99</v>
      </c>
      <c r="H112" s="2">
        <v>2922754.0</v>
      </c>
      <c r="I112" s="2">
        <v>353.0</v>
      </c>
    </row>
    <row r="113" ht="15.75" customHeight="1">
      <c r="A113" s="2">
        <v>3.0</v>
      </c>
      <c r="B113" s="2" t="s">
        <v>29</v>
      </c>
      <c r="C113" s="2" t="s">
        <v>30</v>
      </c>
      <c r="D113" s="2" t="s">
        <v>18</v>
      </c>
      <c r="E113" s="2" t="s">
        <v>15</v>
      </c>
      <c r="F113" s="2">
        <v>1161.0</v>
      </c>
      <c r="G113" s="2">
        <v>1213.07</v>
      </c>
      <c r="H113" s="2">
        <v>1408379.0</v>
      </c>
      <c r="I113" s="2">
        <v>1083.0</v>
      </c>
    </row>
    <row r="114" ht="15.75" customHeight="1">
      <c r="A114" s="2">
        <v>3.0</v>
      </c>
      <c r="B114" s="2" t="s">
        <v>29</v>
      </c>
      <c r="C114" s="2" t="s">
        <v>30</v>
      </c>
      <c r="D114" s="2" t="s">
        <v>19</v>
      </c>
      <c r="E114" s="2" t="s">
        <v>12</v>
      </c>
      <c r="F114" s="2">
        <v>924.0</v>
      </c>
      <c r="G114" s="2">
        <v>5494.53</v>
      </c>
      <c r="H114" s="2">
        <v>5076943.0</v>
      </c>
      <c r="I114" s="2">
        <v>864.0</v>
      </c>
    </row>
    <row r="115" ht="15.75" customHeight="1">
      <c r="A115" s="2">
        <v>3.0</v>
      </c>
      <c r="B115" s="2" t="s">
        <v>29</v>
      </c>
      <c r="C115" s="2" t="s">
        <v>30</v>
      </c>
      <c r="D115" s="2" t="s">
        <v>19</v>
      </c>
      <c r="E115" s="2" t="s">
        <v>13</v>
      </c>
      <c r="F115" s="2">
        <v>101.0</v>
      </c>
      <c r="G115" s="2">
        <v>22735.58</v>
      </c>
      <c r="H115" s="2">
        <v>2296294.0</v>
      </c>
      <c r="I115" s="2">
        <v>71.0</v>
      </c>
    </row>
    <row r="116" ht="15.75" customHeight="1">
      <c r="A116" s="2">
        <v>3.0</v>
      </c>
      <c r="B116" s="2" t="s">
        <v>29</v>
      </c>
      <c r="C116" s="2" t="s">
        <v>30</v>
      </c>
      <c r="D116" s="2" t="s">
        <v>19</v>
      </c>
      <c r="E116" s="2" t="s">
        <v>14</v>
      </c>
      <c r="F116" s="2">
        <v>359.0</v>
      </c>
      <c r="G116" s="2">
        <v>6734.06</v>
      </c>
      <c r="H116" s="2">
        <v>2417526.0</v>
      </c>
      <c r="I116" s="2">
        <v>286.0</v>
      </c>
    </row>
    <row r="117" ht="15.75" customHeight="1">
      <c r="A117" s="2">
        <v>3.0</v>
      </c>
      <c r="B117" s="2" t="s">
        <v>29</v>
      </c>
      <c r="C117" s="2" t="s">
        <v>30</v>
      </c>
      <c r="D117" s="2" t="s">
        <v>19</v>
      </c>
      <c r="E117" s="2" t="s">
        <v>15</v>
      </c>
      <c r="F117" s="2">
        <v>779.0</v>
      </c>
      <c r="G117" s="2">
        <v>1266.21</v>
      </c>
      <c r="H117" s="2">
        <v>986380.0</v>
      </c>
      <c r="I117" s="2">
        <v>570.0</v>
      </c>
    </row>
    <row r="118" ht="15.75" customHeight="1">
      <c r="A118" s="2">
        <v>3.0</v>
      </c>
      <c r="B118" s="2" t="s">
        <v>29</v>
      </c>
      <c r="C118" s="2" t="s">
        <v>30</v>
      </c>
      <c r="D118" s="2" t="s">
        <v>20</v>
      </c>
      <c r="E118" s="2" t="s">
        <v>12</v>
      </c>
      <c r="F118" s="2">
        <v>1026.0</v>
      </c>
      <c r="G118" s="2">
        <v>5269.64</v>
      </c>
      <c r="H118" s="2">
        <v>5406654.0</v>
      </c>
      <c r="I118" s="2">
        <v>964.0</v>
      </c>
    </row>
    <row r="119" ht="15.75" customHeight="1">
      <c r="A119" s="2">
        <v>3.0</v>
      </c>
      <c r="B119" s="2" t="s">
        <v>29</v>
      </c>
      <c r="C119" s="2" t="s">
        <v>30</v>
      </c>
      <c r="D119" s="2" t="s">
        <v>20</v>
      </c>
      <c r="E119" s="2" t="s">
        <v>13</v>
      </c>
      <c r="F119" s="2">
        <v>173.0</v>
      </c>
      <c r="G119" s="2">
        <v>21970.65</v>
      </c>
      <c r="H119" s="2">
        <v>3800923.0</v>
      </c>
      <c r="I119" s="2">
        <v>130.0</v>
      </c>
    </row>
    <row r="120" ht="15.75" customHeight="1">
      <c r="A120" s="2">
        <v>3.0</v>
      </c>
      <c r="B120" s="2" t="s">
        <v>29</v>
      </c>
      <c r="C120" s="2" t="s">
        <v>30</v>
      </c>
      <c r="D120" s="2" t="s">
        <v>20</v>
      </c>
      <c r="E120" s="2" t="s">
        <v>14</v>
      </c>
      <c r="F120" s="2">
        <v>484.0</v>
      </c>
      <c r="G120" s="2">
        <v>6554.07</v>
      </c>
      <c r="H120" s="2">
        <v>3172170.0</v>
      </c>
      <c r="I120" s="2">
        <v>377.0</v>
      </c>
    </row>
    <row r="121" ht="15.75" customHeight="1">
      <c r="A121" s="2">
        <v>3.0</v>
      </c>
      <c r="B121" s="2" t="s">
        <v>29</v>
      </c>
      <c r="C121" s="2" t="s">
        <v>30</v>
      </c>
      <c r="D121" s="2" t="s">
        <v>20</v>
      </c>
      <c r="E121" s="2" t="s">
        <v>15</v>
      </c>
      <c r="F121" s="2">
        <v>1001.0</v>
      </c>
      <c r="G121" s="2">
        <v>1220.76</v>
      </c>
      <c r="H121" s="2">
        <v>1221981.0</v>
      </c>
      <c r="I121" s="2">
        <v>785.0</v>
      </c>
    </row>
    <row r="122" ht="15.75" customHeight="1">
      <c r="A122" s="2">
        <v>3.0</v>
      </c>
      <c r="B122" s="2" t="s">
        <v>29</v>
      </c>
      <c r="C122" s="2" t="s">
        <v>30</v>
      </c>
      <c r="D122" s="2" t="s">
        <v>21</v>
      </c>
      <c r="E122" s="2" t="s">
        <v>12</v>
      </c>
      <c r="F122" s="2">
        <v>714.0</v>
      </c>
      <c r="G122" s="2">
        <v>5175.55</v>
      </c>
      <c r="H122" s="2">
        <v>3695345.0</v>
      </c>
      <c r="I122" s="2">
        <v>624.0</v>
      </c>
    </row>
    <row r="123" ht="15.75" customHeight="1">
      <c r="A123" s="2">
        <v>3.0</v>
      </c>
      <c r="B123" s="2" t="s">
        <v>29</v>
      </c>
      <c r="C123" s="2" t="s">
        <v>30</v>
      </c>
      <c r="D123" s="2" t="s">
        <v>21</v>
      </c>
      <c r="E123" s="2" t="s">
        <v>13</v>
      </c>
      <c r="F123" s="2">
        <v>174.0</v>
      </c>
      <c r="G123" s="2">
        <v>21215.61</v>
      </c>
      <c r="H123" s="2">
        <v>3691516.0</v>
      </c>
      <c r="I123" s="2">
        <v>159.0</v>
      </c>
    </row>
    <row r="124" ht="15.75" customHeight="1">
      <c r="A124" s="2">
        <v>3.0</v>
      </c>
      <c r="B124" s="2" t="s">
        <v>29</v>
      </c>
      <c r="C124" s="2" t="s">
        <v>30</v>
      </c>
      <c r="D124" s="2" t="s">
        <v>21</v>
      </c>
      <c r="E124" s="2" t="s">
        <v>14</v>
      </c>
      <c r="F124" s="2">
        <v>416.0</v>
      </c>
      <c r="G124" s="2">
        <v>6511.09</v>
      </c>
      <c r="H124" s="2">
        <v>2708613.0</v>
      </c>
      <c r="I124" s="2">
        <v>309.0</v>
      </c>
    </row>
    <row r="125" ht="15.75" customHeight="1">
      <c r="A125" s="2">
        <v>3.0</v>
      </c>
      <c r="B125" s="2" t="s">
        <v>29</v>
      </c>
      <c r="C125" s="2" t="s">
        <v>30</v>
      </c>
      <c r="D125" s="2" t="s">
        <v>21</v>
      </c>
      <c r="E125" s="2" t="s">
        <v>15</v>
      </c>
      <c r="F125" s="2">
        <v>856.0</v>
      </c>
      <c r="G125" s="2">
        <v>1287.68</v>
      </c>
      <c r="H125" s="2">
        <v>1102250.0</v>
      </c>
      <c r="I125" s="2">
        <v>720.0</v>
      </c>
    </row>
    <row r="126" ht="15.75" customHeight="1">
      <c r="A126" s="2">
        <v>3.0</v>
      </c>
      <c r="B126" s="2" t="s">
        <v>29</v>
      </c>
      <c r="C126" s="2" t="s">
        <v>30</v>
      </c>
      <c r="D126" s="2" t="s">
        <v>22</v>
      </c>
      <c r="E126" s="2" t="s">
        <v>12</v>
      </c>
      <c r="F126" s="2">
        <v>698.0</v>
      </c>
      <c r="G126" s="2">
        <v>4942.47</v>
      </c>
      <c r="H126" s="2">
        <v>3449841.0</v>
      </c>
      <c r="I126" s="2">
        <v>624.0</v>
      </c>
    </row>
    <row r="127" ht="15.75" customHeight="1">
      <c r="A127" s="2">
        <v>3.0</v>
      </c>
      <c r="B127" s="2" t="s">
        <v>29</v>
      </c>
      <c r="C127" s="2" t="s">
        <v>30</v>
      </c>
      <c r="D127" s="2" t="s">
        <v>22</v>
      </c>
      <c r="E127" s="2" t="s">
        <v>13</v>
      </c>
      <c r="F127" s="2">
        <v>136.0</v>
      </c>
      <c r="G127" s="2">
        <v>20523.54</v>
      </c>
      <c r="H127" s="2">
        <v>2791202.0</v>
      </c>
      <c r="I127" s="2">
        <v>103.0</v>
      </c>
    </row>
    <row r="128" ht="15.75" customHeight="1">
      <c r="A128" s="2">
        <v>3.0</v>
      </c>
      <c r="B128" s="2" t="s">
        <v>29</v>
      </c>
      <c r="C128" s="2" t="s">
        <v>30</v>
      </c>
      <c r="D128" s="2" t="s">
        <v>22</v>
      </c>
      <c r="E128" s="2" t="s">
        <v>14</v>
      </c>
      <c r="F128" s="2">
        <v>382.0</v>
      </c>
      <c r="G128" s="2">
        <v>6947.62</v>
      </c>
      <c r="H128" s="2">
        <v>2653993.0</v>
      </c>
      <c r="I128" s="2">
        <v>277.0</v>
      </c>
    </row>
    <row r="129" ht="15.75" customHeight="1">
      <c r="A129" s="2">
        <v>3.0</v>
      </c>
      <c r="B129" s="2" t="s">
        <v>29</v>
      </c>
      <c r="C129" s="2" t="s">
        <v>30</v>
      </c>
      <c r="D129" s="2" t="s">
        <v>22</v>
      </c>
      <c r="E129" s="2" t="s">
        <v>15</v>
      </c>
      <c r="F129" s="2">
        <v>672.0</v>
      </c>
      <c r="G129" s="2">
        <v>1281.35</v>
      </c>
      <c r="H129" s="2">
        <v>861068.0</v>
      </c>
      <c r="I129" s="2">
        <v>560.0</v>
      </c>
    </row>
    <row r="130" ht="15.75" customHeight="1">
      <c r="A130" s="2">
        <v>3.0</v>
      </c>
      <c r="B130" s="2" t="s">
        <v>29</v>
      </c>
      <c r="C130" s="2" t="s">
        <v>30</v>
      </c>
      <c r="D130" s="2" t="s">
        <v>23</v>
      </c>
      <c r="E130" s="2" t="s">
        <v>12</v>
      </c>
      <c r="F130" s="2">
        <v>1195.0</v>
      </c>
      <c r="G130" s="2">
        <v>5195.36</v>
      </c>
      <c r="H130" s="2">
        <v>6208458.0</v>
      </c>
      <c r="I130" s="2">
        <v>1104.0</v>
      </c>
    </row>
    <row r="131" ht="15.75" customHeight="1">
      <c r="A131" s="2">
        <v>3.0</v>
      </c>
      <c r="B131" s="2" t="s">
        <v>29</v>
      </c>
      <c r="C131" s="2" t="s">
        <v>30</v>
      </c>
      <c r="D131" s="2" t="s">
        <v>23</v>
      </c>
      <c r="E131" s="2" t="s">
        <v>13</v>
      </c>
      <c r="F131" s="2">
        <v>199.0</v>
      </c>
      <c r="G131" s="2">
        <v>22259.31</v>
      </c>
      <c r="H131" s="2">
        <v>4429604.0</v>
      </c>
      <c r="I131" s="2">
        <v>139.0</v>
      </c>
    </row>
    <row r="132" ht="15.75" customHeight="1">
      <c r="A132" s="2">
        <v>3.0</v>
      </c>
      <c r="B132" s="2" t="s">
        <v>29</v>
      </c>
      <c r="C132" s="2" t="s">
        <v>30</v>
      </c>
      <c r="D132" s="2" t="s">
        <v>23</v>
      </c>
      <c r="E132" s="2" t="s">
        <v>14</v>
      </c>
      <c r="F132" s="2">
        <v>432.0</v>
      </c>
      <c r="G132" s="2">
        <v>6576.61</v>
      </c>
      <c r="H132" s="2">
        <v>2841097.0</v>
      </c>
      <c r="I132" s="2">
        <v>405.0</v>
      </c>
    </row>
    <row r="133" ht="15.75" customHeight="1">
      <c r="A133" s="2">
        <v>3.0</v>
      </c>
      <c r="B133" s="2" t="s">
        <v>29</v>
      </c>
      <c r="C133" s="2" t="s">
        <v>30</v>
      </c>
      <c r="D133" s="2" t="s">
        <v>23</v>
      </c>
      <c r="E133" s="2" t="s">
        <v>15</v>
      </c>
      <c r="F133" s="2">
        <v>1134.0</v>
      </c>
      <c r="G133" s="2">
        <v>1298.4</v>
      </c>
      <c r="H133" s="2">
        <v>1472388.0</v>
      </c>
      <c r="I133" s="2">
        <v>1063.0</v>
      </c>
    </row>
    <row r="134" ht="15.75" customHeight="1">
      <c r="A134" s="2">
        <v>3.0</v>
      </c>
      <c r="B134" s="2" t="s">
        <v>29</v>
      </c>
      <c r="C134" s="2" t="s">
        <v>30</v>
      </c>
      <c r="D134" s="2" t="s">
        <v>24</v>
      </c>
      <c r="E134" s="2" t="s">
        <v>12</v>
      </c>
      <c r="F134" s="2">
        <v>1105.0</v>
      </c>
      <c r="G134" s="2">
        <v>5136.36</v>
      </c>
      <c r="H134" s="2">
        <v>5675673.0</v>
      </c>
      <c r="I134" s="2">
        <v>854.0</v>
      </c>
    </row>
    <row r="135" ht="15.75" customHeight="1">
      <c r="A135" s="2">
        <v>3.0</v>
      </c>
      <c r="B135" s="2" t="s">
        <v>29</v>
      </c>
      <c r="C135" s="2" t="s">
        <v>30</v>
      </c>
      <c r="D135" s="2" t="s">
        <v>24</v>
      </c>
      <c r="E135" s="2" t="s">
        <v>13</v>
      </c>
      <c r="F135" s="2">
        <v>124.0</v>
      </c>
      <c r="G135" s="2">
        <v>23173.91</v>
      </c>
      <c r="H135" s="2">
        <v>2873565.0</v>
      </c>
      <c r="I135" s="2">
        <v>103.0</v>
      </c>
    </row>
    <row r="136" ht="15.75" customHeight="1">
      <c r="A136" s="2">
        <v>3.0</v>
      </c>
      <c r="B136" s="2" t="s">
        <v>29</v>
      </c>
      <c r="C136" s="2" t="s">
        <v>30</v>
      </c>
      <c r="D136" s="2" t="s">
        <v>24</v>
      </c>
      <c r="E136" s="2" t="s">
        <v>14</v>
      </c>
      <c r="F136" s="2">
        <v>252.0</v>
      </c>
      <c r="G136" s="2">
        <v>6887.24</v>
      </c>
      <c r="H136" s="2">
        <v>1735583.0</v>
      </c>
      <c r="I136" s="2">
        <v>182.0</v>
      </c>
    </row>
    <row r="137" ht="15.75" customHeight="1">
      <c r="A137" s="2">
        <v>3.0</v>
      </c>
      <c r="B137" s="2" t="s">
        <v>29</v>
      </c>
      <c r="C137" s="2" t="s">
        <v>30</v>
      </c>
      <c r="D137" s="2" t="s">
        <v>24</v>
      </c>
      <c r="E137" s="2" t="s">
        <v>15</v>
      </c>
      <c r="F137" s="2">
        <v>441.0</v>
      </c>
      <c r="G137" s="2">
        <v>1262.83</v>
      </c>
      <c r="H137" s="2">
        <v>556910.0</v>
      </c>
      <c r="I137" s="2">
        <v>416.0</v>
      </c>
    </row>
    <row r="138" ht="15.75" customHeight="1">
      <c r="A138" s="2">
        <v>3.0</v>
      </c>
      <c r="B138" s="2" t="s">
        <v>29</v>
      </c>
      <c r="C138" s="2" t="s">
        <v>30</v>
      </c>
      <c r="D138" s="2" t="s">
        <v>25</v>
      </c>
      <c r="E138" s="2" t="s">
        <v>12</v>
      </c>
      <c r="F138" s="2">
        <v>997.0</v>
      </c>
      <c r="G138" s="2">
        <v>4882.0</v>
      </c>
      <c r="H138" s="2">
        <v>4867350.0</v>
      </c>
      <c r="I138" s="2">
        <v>919.0</v>
      </c>
    </row>
    <row r="139" ht="15.75" customHeight="1">
      <c r="A139" s="2">
        <v>3.0</v>
      </c>
      <c r="B139" s="2" t="s">
        <v>29</v>
      </c>
      <c r="C139" s="2" t="s">
        <v>30</v>
      </c>
      <c r="D139" s="2" t="s">
        <v>25</v>
      </c>
      <c r="E139" s="2" t="s">
        <v>13</v>
      </c>
      <c r="F139" s="2">
        <v>174.0</v>
      </c>
      <c r="G139" s="2">
        <v>22916.35</v>
      </c>
      <c r="H139" s="2">
        <v>3987444.0</v>
      </c>
      <c r="I139" s="2">
        <v>126.0</v>
      </c>
    </row>
    <row r="140" ht="15.75" customHeight="1">
      <c r="A140" s="2">
        <v>3.0</v>
      </c>
      <c r="B140" s="2" t="s">
        <v>29</v>
      </c>
      <c r="C140" s="2" t="s">
        <v>30</v>
      </c>
      <c r="D140" s="2" t="s">
        <v>25</v>
      </c>
      <c r="E140" s="2" t="s">
        <v>14</v>
      </c>
      <c r="F140" s="2">
        <v>275.0</v>
      </c>
      <c r="G140" s="2">
        <v>6966.7</v>
      </c>
      <c r="H140" s="2">
        <v>1915841.0</v>
      </c>
      <c r="I140" s="2">
        <v>252.0</v>
      </c>
    </row>
    <row r="141" ht="15.75" customHeight="1">
      <c r="A141" s="2">
        <v>3.0</v>
      </c>
      <c r="B141" s="2" t="s">
        <v>29</v>
      </c>
      <c r="C141" s="2" t="s">
        <v>30</v>
      </c>
      <c r="D141" s="2" t="s">
        <v>25</v>
      </c>
      <c r="E141" s="2" t="s">
        <v>15</v>
      </c>
      <c r="F141" s="2">
        <v>629.0</v>
      </c>
      <c r="G141" s="2">
        <v>1249.61</v>
      </c>
      <c r="H141" s="2">
        <v>786002.0</v>
      </c>
      <c r="I141" s="2">
        <v>453.0</v>
      </c>
    </row>
    <row r="142" ht="15.75" customHeight="1">
      <c r="A142" s="2">
        <v>3.0</v>
      </c>
      <c r="B142" s="2" t="s">
        <v>29</v>
      </c>
      <c r="C142" s="2" t="s">
        <v>30</v>
      </c>
      <c r="D142" s="2" t="s">
        <v>26</v>
      </c>
      <c r="E142" s="2" t="s">
        <v>12</v>
      </c>
      <c r="F142" s="2">
        <v>767.0</v>
      </c>
      <c r="G142" s="2">
        <v>5205.79</v>
      </c>
      <c r="H142" s="2">
        <v>3992843.0</v>
      </c>
      <c r="I142" s="2">
        <v>553.0</v>
      </c>
    </row>
    <row r="143" ht="15.75" customHeight="1">
      <c r="A143" s="2">
        <v>3.0</v>
      </c>
      <c r="B143" s="2" t="s">
        <v>29</v>
      </c>
      <c r="C143" s="2" t="s">
        <v>30</v>
      </c>
      <c r="D143" s="2" t="s">
        <v>26</v>
      </c>
      <c r="E143" s="2" t="s">
        <v>13</v>
      </c>
      <c r="F143" s="2">
        <v>182.0</v>
      </c>
      <c r="G143" s="2">
        <v>21685.64</v>
      </c>
      <c r="H143" s="2">
        <v>3946786.0</v>
      </c>
      <c r="I143" s="2">
        <v>153.0</v>
      </c>
    </row>
    <row r="144" ht="15.75" customHeight="1">
      <c r="A144" s="2">
        <v>3.0</v>
      </c>
      <c r="B144" s="2" t="s">
        <v>29</v>
      </c>
      <c r="C144" s="2" t="s">
        <v>30</v>
      </c>
      <c r="D144" s="2" t="s">
        <v>26</v>
      </c>
      <c r="E144" s="2" t="s">
        <v>14</v>
      </c>
      <c r="F144" s="2">
        <v>344.0</v>
      </c>
      <c r="G144" s="2">
        <v>6500.73</v>
      </c>
      <c r="H144" s="2">
        <v>2236252.0</v>
      </c>
      <c r="I144" s="2">
        <v>247.0</v>
      </c>
    </row>
    <row r="145" ht="15.75" customHeight="1">
      <c r="A145" s="2">
        <v>3.0</v>
      </c>
      <c r="B145" s="2" t="s">
        <v>29</v>
      </c>
      <c r="C145" s="2" t="s">
        <v>30</v>
      </c>
      <c r="D145" s="2" t="s">
        <v>26</v>
      </c>
      <c r="E145" s="2" t="s">
        <v>15</v>
      </c>
      <c r="F145" s="2">
        <v>844.0</v>
      </c>
      <c r="G145" s="2">
        <v>1336.01</v>
      </c>
      <c r="H145" s="2">
        <v>1127593.0</v>
      </c>
      <c r="I145" s="2">
        <v>670.0</v>
      </c>
    </row>
    <row r="146" ht="15.75" customHeight="1">
      <c r="A146" s="2">
        <v>4.0</v>
      </c>
      <c r="B146" s="2" t="s">
        <v>31</v>
      </c>
      <c r="C146" s="2" t="s">
        <v>28</v>
      </c>
      <c r="D146" s="2" t="s">
        <v>11</v>
      </c>
      <c r="E146" s="2" t="s">
        <v>12</v>
      </c>
      <c r="F146" s="2">
        <v>766.0</v>
      </c>
      <c r="G146" s="2">
        <v>5471.53</v>
      </c>
      <c r="H146" s="2">
        <v>4191193.0</v>
      </c>
      <c r="I146" s="2">
        <v>557.0</v>
      </c>
    </row>
    <row r="147" ht="15.75" customHeight="1">
      <c r="A147" s="2">
        <v>4.0</v>
      </c>
      <c r="B147" s="2" t="s">
        <v>31</v>
      </c>
      <c r="C147" s="2" t="s">
        <v>28</v>
      </c>
      <c r="D147" s="2" t="s">
        <v>11</v>
      </c>
      <c r="E147" s="2" t="s">
        <v>13</v>
      </c>
      <c r="F147" s="2">
        <v>240.0</v>
      </c>
      <c r="G147" s="2">
        <v>21372.05</v>
      </c>
      <c r="H147" s="2">
        <v>5129292.0</v>
      </c>
      <c r="I147" s="2">
        <v>192.0</v>
      </c>
    </row>
    <row r="148" ht="15.75" customHeight="1">
      <c r="A148" s="2">
        <v>4.0</v>
      </c>
      <c r="B148" s="2" t="s">
        <v>31</v>
      </c>
      <c r="C148" s="2" t="s">
        <v>28</v>
      </c>
      <c r="D148" s="2" t="s">
        <v>11</v>
      </c>
      <c r="E148" s="2" t="s">
        <v>14</v>
      </c>
      <c r="F148" s="2">
        <v>325.0</v>
      </c>
      <c r="G148" s="2">
        <v>6796.82</v>
      </c>
      <c r="H148" s="2">
        <v>2208965.0</v>
      </c>
      <c r="I148" s="2">
        <v>288.0</v>
      </c>
    </row>
    <row r="149" ht="15.75" customHeight="1">
      <c r="A149" s="2">
        <v>4.0</v>
      </c>
      <c r="B149" s="2" t="s">
        <v>31</v>
      </c>
      <c r="C149" s="2" t="s">
        <v>28</v>
      </c>
      <c r="D149" s="2" t="s">
        <v>11</v>
      </c>
      <c r="E149" s="2" t="s">
        <v>15</v>
      </c>
      <c r="F149" s="2">
        <v>747.0</v>
      </c>
      <c r="G149" s="2">
        <v>1117.28</v>
      </c>
      <c r="H149" s="2">
        <v>834606.0</v>
      </c>
      <c r="I149" s="2">
        <v>702.0</v>
      </c>
    </row>
    <row r="150" ht="15.75" customHeight="1">
      <c r="A150" s="2">
        <v>4.0</v>
      </c>
      <c r="B150" s="2" t="s">
        <v>31</v>
      </c>
      <c r="C150" s="2" t="s">
        <v>28</v>
      </c>
      <c r="D150" s="2" t="s">
        <v>16</v>
      </c>
      <c r="E150" s="2" t="s">
        <v>12</v>
      </c>
      <c r="F150" s="2">
        <v>790.0</v>
      </c>
      <c r="G150" s="2">
        <v>5130.61</v>
      </c>
      <c r="H150" s="2">
        <v>4053184.0</v>
      </c>
      <c r="I150" s="2">
        <v>657.0</v>
      </c>
    </row>
    <row r="151" ht="15.75" customHeight="1">
      <c r="A151" s="2">
        <v>4.0</v>
      </c>
      <c r="B151" s="2" t="s">
        <v>31</v>
      </c>
      <c r="C151" s="2" t="s">
        <v>28</v>
      </c>
      <c r="D151" s="2" t="s">
        <v>16</v>
      </c>
      <c r="E151" s="2" t="s">
        <v>13</v>
      </c>
      <c r="F151" s="2">
        <v>216.0</v>
      </c>
      <c r="G151" s="2">
        <v>21463.8</v>
      </c>
      <c r="H151" s="2">
        <v>4636181.0</v>
      </c>
      <c r="I151" s="2">
        <v>203.0</v>
      </c>
    </row>
    <row r="152" ht="15.75" customHeight="1">
      <c r="A152" s="2">
        <v>4.0</v>
      </c>
      <c r="B152" s="2" t="s">
        <v>31</v>
      </c>
      <c r="C152" s="2" t="s">
        <v>28</v>
      </c>
      <c r="D152" s="2" t="s">
        <v>16</v>
      </c>
      <c r="E152" s="2" t="s">
        <v>14</v>
      </c>
      <c r="F152" s="2">
        <v>243.0</v>
      </c>
      <c r="G152" s="2">
        <v>6713.68</v>
      </c>
      <c r="H152" s="2">
        <v>1631425.0</v>
      </c>
      <c r="I152" s="2">
        <v>189.0</v>
      </c>
    </row>
    <row r="153" ht="15.75" customHeight="1">
      <c r="A153" s="2">
        <v>4.0</v>
      </c>
      <c r="B153" s="2" t="s">
        <v>31</v>
      </c>
      <c r="C153" s="2" t="s">
        <v>28</v>
      </c>
      <c r="D153" s="2" t="s">
        <v>16</v>
      </c>
      <c r="E153" s="2" t="s">
        <v>15</v>
      </c>
      <c r="F153" s="2">
        <v>479.0</v>
      </c>
      <c r="G153" s="2">
        <v>1238.92</v>
      </c>
      <c r="H153" s="2">
        <v>593442.0</v>
      </c>
      <c r="I153" s="2">
        <v>398.0</v>
      </c>
    </row>
    <row r="154" ht="15.75" customHeight="1">
      <c r="A154" s="2">
        <v>4.0</v>
      </c>
      <c r="B154" s="2" t="s">
        <v>31</v>
      </c>
      <c r="C154" s="2" t="s">
        <v>28</v>
      </c>
      <c r="D154" s="2" t="s">
        <v>17</v>
      </c>
      <c r="E154" s="2" t="s">
        <v>12</v>
      </c>
      <c r="F154" s="2">
        <v>802.0</v>
      </c>
      <c r="G154" s="2">
        <v>5266.39</v>
      </c>
      <c r="H154" s="2">
        <v>4223641.0</v>
      </c>
      <c r="I154" s="2">
        <v>700.0</v>
      </c>
    </row>
    <row r="155" ht="15.75" customHeight="1">
      <c r="A155" s="2">
        <v>4.0</v>
      </c>
      <c r="B155" s="2" t="s">
        <v>31</v>
      </c>
      <c r="C155" s="2" t="s">
        <v>28</v>
      </c>
      <c r="D155" s="2" t="s">
        <v>17</v>
      </c>
      <c r="E155" s="2" t="s">
        <v>13</v>
      </c>
      <c r="F155" s="2">
        <v>245.0</v>
      </c>
      <c r="G155" s="2">
        <v>21728.14</v>
      </c>
      <c r="H155" s="2">
        <v>5323394.0</v>
      </c>
      <c r="I155" s="2">
        <v>181.0</v>
      </c>
    </row>
    <row r="156" ht="15.75" customHeight="1">
      <c r="A156" s="2">
        <v>4.0</v>
      </c>
      <c r="B156" s="2" t="s">
        <v>31</v>
      </c>
      <c r="C156" s="2" t="s">
        <v>28</v>
      </c>
      <c r="D156" s="2" t="s">
        <v>17</v>
      </c>
      <c r="E156" s="2" t="s">
        <v>14</v>
      </c>
      <c r="F156" s="2">
        <v>213.0</v>
      </c>
      <c r="G156" s="2">
        <v>6430.83</v>
      </c>
      <c r="H156" s="2">
        <v>1369767.0</v>
      </c>
      <c r="I156" s="2">
        <v>188.0</v>
      </c>
    </row>
    <row r="157" ht="15.75" customHeight="1">
      <c r="A157" s="2">
        <v>4.0</v>
      </c>
      <c r="B157" s="2" t="s">
        <v>31</v>
      </c>
      <c r="C157" s="2" t="s">
        <v>28</v>
      </c>
      <c r="D157" s="2" t="s">
        <v>17</v>
      </c>
      <c r="E157" s="2" t="s">
        <v>15</v>
      </c>
      <c r="F157" s="2">
        <v>411.0</v>
      </c>
      <c r="G157" s="2">
        <v>1352.58</v>
      </c>
      <c r="H157" s="2">
        <v>555912.0</v>
      </c>
      <c r="I157" s="2">
        <v>386.0</v>
      </c>
    </row>
    <row r="158" ht="15.75" customHeight="1">
      <c r="A158" s="2">
        <v>4.0</v>
      </c>
      <c r="B158" s="2" t="s">
        <v>31</v>
      </c>
      <c r="C158" s="2" t="s">
        <v>28</v>
      </c>
      <c r="D158" s="2" t="s">
        <v>18</v>
      </c>
      <c r="E158" s="2" t="s">
        <v>12</v>
      </c>
      <c r="F158" s="2">
        <v>957.0</v>
      </c>
      <c r="G158" s="2">
        <v>5737.96</v>
      </c>
      <c r="H158" s="2">
        <v>5491228.0</v>
      </c>
      <c r="I158" s="2">
        <v>736.0</v>
      </c>
    </row>
    <row r="159" ht="15.75" customHeight="1">
      <c r="A159" s="2">
        <v>4.0</v>
      </c>
      <c r="B159" s="2" t="s">
        <v>31</v>
      </c>
      <c r="C159" s="2" t="s">
        <v>28</v>
      </c>
      <c r="D159" s="2" t="s">
        <v>18</v>
      </c>
      <c r="E159" s="2" t="s">
        <v>13</v>
      </c>
      <c r="F159" s="2">
        <v>191.0</v>
      </c>
      <c r="G159" s="2">
        <v>20853.36</v>
      </c>
      <c r="H159" s="2">
        <v>3982992.0</v>
      </c>
      <c r="I159" s="2">
        <v>164.0</v>
      </c>
    </row>
    <row r="160" ht="15.75" customHeight="1">
      <c r="A160" s="2">
        <v>4.0</v>
      </c>
      <c r="B160" s="2" t="s">
        <v>31</v>
      </c>
      <c r="C160" s="2" t="s">
        <v>28</v>
      </c>
      <c r="D160" s="2" t="s">
        <v>18</v>
      </c>
      <c r="E160" s="2" t="s">
        <v>14</v>
      </c>
      <c r="F160" s="2">
        <v>335.0</v>
      </c>
      <c r="G160" s="2">
        <v>7009.78</v>
      </c>
      <c r="H160" s="2">
        <v>2348276.0</v>
      </c>
      <c r="I160" s="2">
        <v>241.0</v>
      </c>
    </row>
    <row r="161" ht="15.75" customHeight="1">
      <c r="A161" s="2">
        <v>4.0</v>
      </c>
      <c r="B161" s="2" t="s">
        <v>31</v>
      </c>
      <c r="C161" s="2" t="s">
        <v>28</v>
      </c>
      <c r="D161" s="2" t="s">
        <v>18</v>
      </c>
      <c r="E161" s="2" t="s">
        <v>15</v>
      </c>
      <c r="F161" s="2">
        <v>440.0</v>
      </c>
      <c r="G161" s="2">
        <v>1018.99</v>
      </c>
      <c r="H161" s="2">
        <v>448354.0</v>
      </c>
      <c r="I161" s="2">
        <v>336.0</v>
      </c>
    </row>
    <row r="162" ht="15.75" customHeight="1">
      <c r="A162" s="2">
        <v>4.0</v>
      </c>
      <c r="B162" s="2" t="s">
        <v>31</v>
      </c>
      <c r="C162" s="2" t="s">
        <v>28</v>
      </c>
      <c r="D162" s="2" t="s">
        <v>19</v>
      </c>
      <c r="E162" s="2" t="s">
        <v>12</v>
      </c>
      <c r="F162" s="2">
        <v>1101.0</v>
      </c>
      <c r="G162" s="2">
        <v>5645.55</v>
      </c>
      <c r="H162" s="2">
        <v>6215750.0</v>
      </c>
      <c r="I162" s="2">
        <v>845.0</v>
      </c>
    </row>
    <row r="163" ht="15.75" customHeight="1">
      <c r="A163" s="2">
        <v>4.0</v>
      </c>
      <c r="B163" s="2" t="s">
        <v>31</v>
      </c>
      <c r="C163" s="2" t="s">
        <v>28</v>
      </c>
      <c r="D163" s="2" t="s">
        <v>19</v>
      </c>
      <c r="E163" s="2" t="s">
        <v>13</v>
      </c>
      <c r="F163" s="2">
        <v>240.0</v>
      </c>
      <c r="G163" s="2">
        <v>20305.92</v>
      </c>
      <c r="H163" s="2">
        <v>4873421.0</v>
      </c>
      <c r="I163" s="2">
        <v>222.0</v>
      </c>
    </row>
    <row r="164" ht="15.75" customHeight="1">
      <c r="A164" s="2">
        <v>4.0</v>
      </c>
      <c r="B164" s="2" t="s">
        <v>31</v>
      </c>
      <c r="C164" s="2" t="s">
        <v>28</v>
      </c>
      <c r="D164" s="2" t="s">
        <v>19</v>
      </c>
      <c r="E164" s="2" t="s">
        <v>14</v>
      </c>
      <c r="F164" s="2">
        <v>452.0</v>
      </c>
      <c r="G164" s="2">
        <v>6663.16</v>
      </c>
      <c r="H164" s="2">
        <v>3011750.0</v>
      </c>
      <c r="I164" s="2">
        <v>382.0</v>
      </c>
    </row>
    <row r="165" ht="15.75" customHeight="1">
      <c r="A165" s="2">
        <v>4.0</v>
      </c>
      <c r="B165" s="2" t="s">
        <v>31</v>
      </c>
      <c r="C165" s="2" t="s">
        <v>28</v>
      </c>
      <c r="D165" s="2" t="s">
        <v>19</v>
      </c>
      <c r="E165" s="2" t="s">
        <v>15</v>
      </c>
      <c r="F165" s="2">
        <v>849.0</v>
      </c>
      <c r="G165" s="2">
        <v>1264.89</v>
      </c>
      <c r="H165" s="2">
        <v>1073891.0</v>
      </c>
      <c r="I165" s="2">
        <v>611.0</v>
      </c>
    </row>
    <row r="166" ht="15.75" customHeight="1">
      <c r="A166" s="2">
        <v>4.0</v>
      </c>
      <c r="B166" s="2" t="s">
        <v>31</v>
      </c>
      <c r="C166" s="2" t="s">
        <v>28</v>
      </c>
      <c r="D166" s="2" t="s">
        <v>20</v>
      </c>
      <c r="E166" s="2" t="s">
        <v>12</v>
      </c>
      <c r="F166" s="2">
        <v>841.0</v>
      </c>
      <c r="G166" s="2">
        <v>5053.65</v>
      </c>
      <c r="H166" s="2">
        <v>4250123.0</v>
      </c>
      <c r="I166" s="2">
        <v>675.0</v>
      </c>
    </row>
    <row r="167" ht="15.75" customHeight="1">
      <c r="A167" s="2">
        <v>4.0</v>
      </c>
      <c r="B167" s="2" t="s">
        <v>31</v>
      </c>
      <c r="C167" s="2" t="s">
        <v>28</v>
      </c>
      <c r="D167" s="2" t="s">
        <v>20</v>
      </c>
      <c r="E167" s="2" t="s">
        <v>13</v>
      </c>
      <c r="F167" s="2">
        <v>217.0</v>
      </c>
      <c r="G167" s="2">
        <v>21651.67</v>
      </c>
      <c r="H167" s="2">
        <v>4698412.0</v>
      </c>
      <c r="I167" s="2">
        <v>195.0</v>
      </c>
    </row>
    <row r="168" ht="15.75" customHeight="1">
      <c r="A168" s="2">
        <v>4.0</v>
      </c>
      <c r="B168" s="2" t="s">
        <v>31</v>
      </c>
      <c r="C168" s="2" t="s">
        <v>28</v>
      </c>
      <c r="D168" s="2" t="s">
        <v>20</v>
      </c>
      <c r="E168" s="2" t="s">
        <v>14</v>
      </c>
      <c r="F168" s="2">
        <v>423.0</v>
      </c>
      <c r="G168" s="2">
        <v>6515.26</v>
      </c>
      <c r="H168" s="2">
        <v>2755957.0</v>
      </c>
      <c r="I168" s="2">
        <v>383.0</v>
      </c>
    </row>
    <row r="169" ht="15.75" customHeight="1">
      <c r="A169" s="2">
        <v>4.0</v>
      </c>
      <c r="B169" s="2" t="s">
        <v>31</v>
      </c>
      <c r="C169" s="2" t="s">
        <v>28</v>
      </c>
      <c r="D169" s="2" t="s">
        <v>20</v>
      </c>
      <c r="E169" s="2" t="s">
        <v>15</v>
      </c>
      <c r="F169" s="2">
        <v>1088.0</v>
      </c>
      <c r="G169" s="2">
        <v>1343.62</v>
      </c>
      <c r="H169" s="2">
        <v>1461857.0</v>
      </c>
      <c r="I169" s="2">
        <v>989.0</v>
      </c>
    </row>
    <row r="170" ht="15.75" customHeight="1">
      <c r="A170" s="2">
        <v>4.0</v>
      </c>
      <c r="B170" s="2" t="s">
        <v>31</v>
      </c>
      <c r="C170" s="2" t="s">
        <v>28</v>
      </c>
      <c r="D170" s="2" t="s">
        <v>21</v>
      </c>
      <c r="E170" s="2" t="s">
        <v>12</v>
      </c>
      <c r="F170" s="2">
        <v>704.0</v>
      </c>
      <c r="G170" s="2">
        <v>4981.11</v>
      </c>
      <c r="H170" s="2">
        <v>3506705.0</v>
      </c>
      <c r="I170" s="2">
        <v>502.0</v>
      </c>
    </row>
    <row r="171" ht="15.75" customHeight="1">
      <c r="A171" s="2">
        <v>4.0</v>
      </c>
      <c r="B171" s="2" t="s">
        <v>31</v>
      </c>
      <c r="C171" s="2" t="s">
        <v>28</v>
      </c>
      <c r="D171" s="2" t="s">
        <v>21</v>
      </c>
      <c r="E171" s="2" t="s">
        <v>13</v>
      </c>
      <c r="F171" s="2">
        <v>105.0</v>
      </c>
      <c r="G171" s="2">
        <v>21020.5</v>
      </c>
      <c r="H171" s="2">
        <v>2207152.0</v>
      </c>
      <c r="I171" s="2">
        <v>91.0</v>
      </c>
    </row>
    <row r="172" ht="15.75" customHeight="1">
      <c r="A172" s="2">
        <v>4.0</v>
      </c>
      <c r="B172" s="2" t="s">
        <v>31</v>
      </c>
      <c r="C172" s="2" t="s">
        <v>28</v>
      </c>
      <c r="D172" s="2" t="s">
        <v>21</v>
      </c>
      <c r="E172" s="2" t="s">
        <v>14</v>
      </c>
      <c r="F172" s="2">
        <v>396.0</v>
      </c>
      <c r="G172" s="2">
        <v>7154.87</v>
      </c>
      <c r="H172" s="2">
        <v>2833329.0</v>
      </c>
      <c r="I172" s="2">
        <v>370.0</v>
      </c>
    </row>
    <row r="173" ht="15.75" customHeight="1">
      <c r="A173" s="2">
        <v>4.0</v>
      </c>
      <c r="B173" s="2" t="s">
        <v>31</v>
      </c>
      <c r="C173" s="2" t="s">
        <v>28</v>
      </c>
      <c r="D173" s="2" t="s">
        <v>21</v>
      </c>
      <c r="E173" s="2" t="s">
        <v>15</v>
      </c>
      <c r="F173" s="2">
        <v>857.0</v>
      </c>
      <c r="G173" s="2">
        <v>1231.25</v>
      </c>
      <c r="H173" s="2">
        <v>1055178.0</v>
      </c>
      <c r="I173" s="2">
        <v>680.0</v>
      </c>
    </row>
    <row r="174" ht="15.75" customHeight="1">
      <c r="A174" s="2">
        <v>4.0</v>
      </c>
      <c r="B174" s="2" t="s">
        <v>31</v>
      </c>
      <c r="C174" s="2" t="s">
        <v>28</v>
      </c>
      <c r="D174" s="2" t="s">
        <v>22</v>
      </c>
      <c r="E174" s="2" t="s">
        <v>12</v>
      </c>
      <c r="F174" s="2">
        <v>684.0</v>
      </c>
      <c r="G174" s="2">
        <v>5086.48</v>
      </c>
      <c r="H174" s="2">
        <v>3479150.0</v>
      </c>
      <c r="I174" s="2">
        <v>641.0</v>
      </c>
    </row>
    <row r="175" ht="15.75" customHeight="1">
      <c r="A175" s="2">
        <v>4.0</v>
      </c>
      <c r="B175" s="2" t="s">
        <v>31</v>
      </c>
      <c r="C175" s="2" t="s">
        <v>28</v>
      </c>
      <c r="D175" s="2" t="s">
        <v>22</v>
      </c>
      <c r="E175" s="2" t="s">
        <v>13</v>
      </c>
      <c r="F175" s="2">
        <v>103.0</v>
      </c>
      <c r="G175" s="2">
        <v>21386.1</v>
      </c>
      <c r="H175" s="2">
        <v>2202768.0</v>
      </c>
      <c r="I175" s="2">
        <v>77.0</v>
      </c>
    </row>
    <row r="176" ht="15.75" customHeight="1">
      <c r="A176" s="2">
        <v>4.0</v>
      </c>
      <c r="B176" s="2" t="s">
        <v>31</v>
      </c>
      <c r="C176" s="2" t="s">
        <v>28</v>
      </c>
      <c r="D176" s="2" t="s">
        <v>22</v>
      </c>
      <c r="E176" s="2" t="s">
        <v>14</v>
      </c>
      <c r="F176" s="2">
        <v>487.0</v>
      </c>
      <c r="G176" s="2">
        <v>6699.51</v>
      </c>
      <c r="H176" s="2">
        <v>3262661.0</v>
      </c>
      <c r="I176" s="2">
        <v>398.0</v>
      </c>
    </row>
    <row r="177" ht="15.75" customHeight="1">
      <c r="A177" s="2">
        <v>4.0</v>
      </c>
      <c r="B177" s="2" t="s">
        <v>31</v>
      </c>
      <c r="C177" s="2" t="s">
        <v>28</v>
      </c>
      <c r="D177" s="2" t="s">
        <v>22</v>
      </c>
      <c r="E177" s="2" t="s">
        <v>15</v>
      </c>
      <c r="F177" s="2">
        <v>1170.0</v>
      </c>
      <c r="G177" s="2">
        <v>1157.4</v>
      </c>
      <c r="H177" s="2">
        <v>1354154.0</v>
      </c>
      <c r="I177" s="2">
        <v>971.0</v>
      </c>
    </row>
    <row r="178" ht="15.75" customHeight="1">
      <c r="A178" s="2">
        <v>4.0</v>
      </c>
      <c r="B178" s="2" t="s">
        <v>31</v>
      </c>
      <c r="C178" s="2" t="s">
        <v>28</v>
      </c>
      <c r="D178" s="2" t="s">
        <v>23</v>
      </c>
      <c r="E178" s="2" t="s">
        <v>12</v>
      </c>
      <c r="F178" s="2">
        <v>867.0</v>
      </c>
      <c r="G178" s="2">
        <v>5187.35</v>
      </c>
      <c r="H178" s="2">
        <v>4497431.0</v>
      </c>
      <c r="I178" s="2">
        <v>698.0</v>
      </c>
    </row>
    <row r="179" ht="15.75" customHeight="1">
      <c r="A179" s="2">
        <v>4.0</v>
      </c>
      <c r="B179" s="2" t="s">
        <v>31</v>
      </c>
      <c r="C179" s="2" t="s">
        <v>28</v>
      </c>
      <c r="D179" s="2" t="s">
        <v>23</v>
      </c>
      <c r="E179" s="2" t="s">
        <v>13</v>
      </c>
      <c r="F179" s="2">
        <v>184.0</v>
      </c>
      <c r="G179" s="2">
        <v>23531.41</v>
      </c>
      <c r="H179" s="2">
        <v>4329779.0</v>
      </c>
      <c r="I179" s="2">
        <v>158.0</v>
      </c>
    </row>
    <row r="180" ht="15.75" customHeight="1">
      <c r="A180" s="2">
        <v>4.0</v>
      </c>
      <c r="B180" s="2" t="s">
        <v>31</v>
      </c>
      <c r="C180" s="2" t="s">
        <v>28</v>
      </c>
      <c r="D180" s="2" t="s">
        <v>23</v>
      </c>
      <c r="E180" s="2" t="s">
        <v>14</v>
      </c>
      <c r="F180" s="2">
        <v>274.0</v>
      </c>
      <c r="G180" s="2">
        <v>6569.9</v>
      </c>
      <c r="H180" s="2">
        <v>1800154.0</v>
      </c>
      <c r="I180" s="2">
        <v>192.0</v>
      </c>
    </row>
    <row r="181" ht="15.75" customHeight="1">
      <c r="A181" s="2">
        <v>4.0</v>
      </c>
      <c r="B181" s="2" t="s">
        <v>31</v>
      </c>
      <c r="C181" s="2" t="s">
        <v>28</v>
      </c>
      <c r="D181" s="2" t="s">
        <v>23</v>
      </c>
      <c r="E181" s="2" t="s">
        <v>15</v>
      </c>
      <c r="F181" s="2">
        <v>705.0</v>
      </c>
      <c r="G181" s="2">
        <v>1165.77</v>
      </c>
      <c r="H181" s="2">
        <v>821867.0</v>
      </c>
      <c r="I181" s="2">
        <v>597.0</v>
      </c>
    </row>
    <row r="182" ht="15.75" customHeight="1">
      <c r="A182" s="2">
        <v>4.0</v>
      </c>
      <c r="B182" s="2" t="s">
        <v>31</v>
      </c>
      <c r="C182" s="2" t="s">
        <v>28</v>
      </c>
      <c r="D182" s="2" t="s">
        <v>24</v>
      </c>
      <c r="E182" s="2" t="s">
        <v>12</v>
      </c>
      <c r="F182" s="2">
        <v>934.0</v>
      </c>
      <c r="G182" s="2">
        <v>5477.21</v>
      </c>
      <c r="H182" s="2">
        <v>5115717.0</v>
      </c>
      <c r="I182" s="2">
        <v>735.0</v>
      </c>
    </row>
    <row r="183" ht="15.75" customHeight="1">
      <c r="A183" s="2">
        <v>4.0</v>
      </c>
      <c r="B183" s="2" t="s">
        <v>31</v>
      </c>
      <c r="C183" s="2" t="s">
        <v>28</v>
      </c>
      <c r="D183" s="2" t="s">
        <v>24</v>
      </c>
      <c r="E183" s="2" t="s">
        <v>13</v>
      </c>
      <c r="F183" s="2">
        <v>178.0</v>
      </c>
      <c r="G183" s="2">
        <v>21390.34</v>
      </c>
      <c r="H183" s="2">
        <v>3807480.0</v>
      </c>
      <c r="I183" s="2">
        <v>142.0</v>
      </c>
    </row>
    <row r="184" ht="15.75" customHeight="1">
      <c r="A184" s="2">
        <v>4.0</v>
      </c>
      <c r="B184" s="2" t="s">
        <v>31</v>
      </c>
      <c r="C184" s="2" t="s">
        <v>28</v>
      </c>
      <c r="D184" s="2" t="s">
        <v>24</v>
      </c>
      <c r="E184" s="2" t="s">
        <v>14</v>
      </c>
      <c r="F184" s="2">
        <v>446.0</v>
      </c>
      <c r="G184" s="2">
        <v>7271.77</v>
      </c>
      <c r="H184" s="2">
        <v>3243210.0</v>
      </c>
      <c r="I184" s="2">
        <v>401.0</v>
      </c>
    </row>
    <row r="185" ht="15.75" customHeight="1">
      <c r="A185" s="2">
        <v>4.0</v>
      </c>
      <c r="B185" s="2" t="s">
        <v>31</v>
      </c>
      <c r="C185" s="2" t="s">
        <v>28</v>
      </c>
      <c r="D185" s="2" t="s">
        <v>24</v>
      </c>
      <c r="E185" s="2" t="s">
        <v>15</v>
      </c>
      <c r="F185" s="2">
        <v>537.0</v>
      </c>
      <c r="G185" s="2">
        <v>1222.76</v>
      </c>
      <c r="H185" s="2">
        <v>656622.0</v>
      </c>
      <c r="I185" s="2">
        <v>500.0</v>
      </c>
    </row>
    <row r="186" ht="15.75" customHeight="1">
      <c r="A186" s="2">
        <v>4.0</v>
      </c>
      <c r="B186" s="2" t="s">
        <v>31</v>
      </c>
      <c r="C186" s="2" t="s">
        <v>28</v>
      </c>
      <c r="D186" s="2" t="s">
        <v>25</v>
      </c>
      <c r="E186" s="2" t="s">
        <v>12</v>
      </c>
      <c r="F186" s="2">
        <v>929.0</v>
      </c>
      <c r="G186" s="2">
        <v>5325.61</v>
      </c>
      <c r="H186" s="2">
        <v>4947490.0</v>
      </c>
      <c r="I186" s="2">
        <v>730.0</v>
      </c>
    </row>
    <row r="187" ht="15.75" customHeight="1">
      <c r="A187" s="2">
        <v>4.0</v>
      </c>
      <c r="B187" s="2" t="s">
        <v>31</v>
      </c>
      <c r="C187" s="2" t="s">
        <v>28</v>
      </c>
      <c r="D187" s="2" t="s">
        <v>25</v>
      </c>
      <c r="E187" s="2" t="s">
        <v>13</v>
      </c>
      <c r="F187" s="2">
        <v>225.0</v>
      </c>
      <c r="G187" s="2">
        <v>21114.93</v>
      </c>
      <c r="H187" s="2">
        <v>4750859.0</v>
      </c>
      <c r="I187" s="2">
        <v>193.0</v>
      </c>
    </row>
    <row r="188" ht="15.75" customHeight="1">
      <c r="A188" s="2">
        <v>4.0</v>
      </c>
      <c r="B188" s="2" t="s">
        <v>31</v>
      </c>
      <c r="C188" s="2" t="s">
        <v>28</v>
      </c>
      <c r="D188" s="2" t="s">
        <v>25</v>
      </c>
      <c r="E188" s="2" t="s">
        <v>14</v>
      </c>
      <c r="F188" s="2">
        <v>439.0</v>
      </c>
      <c r="G188" s="2">
        <v>6845.53</v>
      </c>
      <c r="H188" s="2">
        <v>3005187.0</v>
      </c>
      <c r="I188" s="2">
        <v>357.0</v>
      </c>
    </row>
    <row r="189" ht="15.75" customHeight="1">
      <c r="A189" s="2">
        <v>4.0</v>
      </c>
      <c r="B189" s="2" t="s">
        <v>31</v>
      </c>
      <c r="C189" s="2" t="s">
        <v>28</v>
      </c>
      <c r="D189" s="2" t="s">
        <v>25</v>
      </c>
      <c r="E189" s="2" t="s">
        <v>15</v>
      </c>
      <c r="F189" s="2">
        <v>494.0</v>
      </c>
      <c r="G189" s="2">
        <v>993.75</v>
      </c>
      <c r="H189" s="2">
        <v>490911.0</v>
      </c>
      <c r="I189" s="2">
        <v>395.0</v>
      </c>
    </row>
    <row r="190" ht="15.75" customHeight="1">
      <c r="A190" s="2">
        <v>4.0</v>
      </c>
      <c r="B190" s="2" t="s">
        <v>31</v>
      </c>
      <c r="C190" s="2" t="s">
        <v>28</v>
      </c>
      <c r="D190" s="2" t="s">
        <v>26</v>
      </c>
      <c r="E190" s="2" t="s">
        <v>12</v>
      </c>
      <c r="F190" s="2">
        <v>1119.0</v>
      </c>
      <c r="G190" s="2">
        <v>5412.05</v>
      </c>
      <c r="H190" s="2">
        <v>6056079.0</v>
      </c>
      <c r="I190" s="2">
        <v>898.0</v>
      </c>
    </row>
    <row r="191" ht="15.75" customHeight="1">
      <c r="A191" s="2">
        <v>4.0</v>
      </c>
      <c r="B191" s="2" t="s">
        <v>31</v>
      </c>
      <c r="C191" s="2" t="s">
        <v>28</v>
      </c>
      <c r="D191" s="2" t="s">
        <v>26</v>
      </c>
      <c r="E191" s="2" t="s">
        <v>13</v>
      </c>
      <c r="F191" s="2">
        <v>195.0</v>
      </c>
      <c r="G191" s="2">
        <v>20770.3</v>
      </c>
      <c r="H191" s="2">
        <v>4050208.0</v>
      </c>
      <c r="I191" s="2">
        <v>159.0</v>
      </c>
    </row>
    <row r="192" ht="15.75" customHeight="1">
      <c r="A192" s="2">
        <v>4.0</v>
      </c>
      <c r="B192" s="2" t="s">
        <v>31</v>
      </c>
      <c r="C192" s="2" t="s">
        <v>28</v>
      </c>
      <c r="D192" s="2" t="s">
        <v>26</v>
      </c>
      <c r="E192" s="2" t="s">
        <v>14</v>
      </c>
      <c r="F192" s="2">
        <v>292.0</v>
      </c>
      <c r="G192" s="2">
        <v>6722.81</v>
      </c>
      <c r="H192" s="2">
        <v>1963062.0</v>
      </c>
      <c r="I192" s="2">
        <v>220.0</v>
      </c>
    </row>
    <row r="193" ht="15.75" customHeight="1">
      <c r="A193" s="2">
        <v>4.0</v>
      </c>
      <c r="B193" s="2" t="s">
        <v>31</v>
      </c>
      <c r="C193" s="2" t="s">
        <v>28</v>
      </c>
      <c r="D193" s="2" t="s">
        <v>26</v>
      </c>
      <c r="E193" s="2" t="s">
        <v>15</v>
      </c>
      <c r="F193" s="2">
        <v>1188.0</v>
      </c>
      <c r="G193" s="2">
        <v>1235.3</v>
      </c>
      <c r="H193" s="2">
        <v>1467532.0</v>
      </c>
      <c r="I193" s="2">
        <v>881.0</v>
      </c>
    </row>
    <row r="194" ht="15.75" customHeight="1">
      <c r="A194" s="2">
        <v>5.0</v>
      </c>
      <c r="B194" s="2" t="s">
        <v>32</v>
      </c>
      <c r="C194" s="2" t="s">
        <v>28</v>
      </c>
      <c r="D194" s="2" t="s">
        <v>11</v>
      </c>
      <c r="E194" s="2" t="s">
        <v>12</v>
      </c>
      <c r="F194" s="2">
        <v>1133.0</v>
      </c>
      <c r="G194" s="2">
        <v>5013.18</v>
      </c>
      <c r="H194" s="2">
        <v>5679935.0</v>
      </c>
      <c r="I194" s="2">
        <v>896.0</v>
      </c>
    </row>
    <row r="195" ht="15.75" customHeight="1">
      <c r="A195" s="2">
        <v>5.0</v>
      </c>
      <c r="B195" s="2" t="s">
        <v>32</v>
      </c>
      <c r="C195" s="2" t="s">
        <v>28</v>
      </c>
      <c r="D195" s="2" t="s">
        <v>11</v>
      </c>
      <c r="E195" s="2" t="s">
        <v>13</v>
      </c>
      <c r="F195" s="2">
        <v>177.0</v>
      </c>
      <c r="G195" s="2">
        <v>21346.77</v>
      </c>
      <c r="H195" s="2">
        <v>3778379.0</v>
      </c>
      <c r="I195" s="2">
        <v>138.0</v>
      </c>
    </row>
    <row r="196" ht="15.75" customHeight="1">
      <c r="A196" s="2">
        <v>5.0</v>
      </c>
      <c r="B196" s="2" t="s">
        <v>32</v>
      </c>
      <c r="C196" s="2" t="s">
        <v>28</v>
      </c>
      <c r="D196" s="2" t="s">
        <v>11</v>
      </c>
      <c r="E196" s="2" t="s">
        <v>14</v>
      </c>
      <c r="F196" s="2">
        <v>272.0</v>
      </c>
      <c r="G196" s="2">
        <v>6687.51</v>
      </c>
      <c r="H196" s="2">
        <v>1819003.0</v>
      </c>
      <c r="I196" s="2">
        <v>237.0</v>
      </c>
    </row>
    <row r="197" ht="15.75" customHeight="1">
      <c r="A197" s="2">
        <v>5.0</v>
      </c>
      <c r="B197" s="2" t="s">
        <v>32</v>
      </c>
      <c r="C197" s="2" t="s">
        <v>28</v>
      </c>
      <c r="D197" s="2" t="s">
        <v>11</v>
      </c>
      <c r="E197" s="2" t="s">
        <v>15</v>
      </c>
      <c r="F197" s="2">
        <v>455.0</v>
      </c>
      <c r="G197" s="2">
        <v>1109.99</v>
      </c>
      <c r="H197" s="2">
        <v>505045.0</v>
      </c>
      <c r="I197" s="2">
        <v>417.0</v>
      </c>
    </row>
    <row r="198" ht="15.75" customHeight="1">
      <c r="A198" s="2">
        <v>5.0</v>
      </c>
      <c r="B198" s="2" t="s">
        <v>32</v>
      </c>
      <c r="C198" s="2" t="s">
        <v>28</v>
      </c>
      <c r="D198" s="2" t="s">
        <v>16</v>
      </c>
      <c r="E198" s="2" t="s">
        <v>12</v>
      </c>
      <c r="F198" s="2">
        <v>647.0</v>
      </c>
      <c r="G198" s="2">
        <v>5277.53</v>
      </c>
      <c r="H198" s="2">
        <v>3414565.0</v>
      </c>
      <c r="I198" s="2">
        <v>583.0</v>
      </c>
    </row>
    <row r="199" ht="15.75" customHeight="1">
      <c r="A199" s="2">
        <v>5.0</v>
      </c>
      <c r="B199" s="2" t="s">
        <v>32</v>
      </c>
      <c r="C199" s="2" t="s">
        <v>28</v>
      </c>
      <c r="D199" s="2" t="s">
        <v>16</v>
      </c>
      <c r="E199" s="2" t="s">
        <v>13</v>
      </c>
      <c r="F199" s="2">
        <v>212.0</v>
      </c>
      <c r="G199" s="2">
        <v>21323.22</v>
      </c>
      <c r="H199" s="2">
        <v>4520524.0</v>
      </c>
      <c r="I199" s="2">
        <v>180.0</v>
      </c>
    </row>
    <row r="200" ht="15.75" customHeight="1">
      <c r="A200" s="2">
        <v>5.0</v>
      </c>
      <c r="B200" s="2" t="s">
        <v>32</v>
      </c>
      <c r="C200" s="2" t="s">
        <v>28</v>
      </c>
      <c r="D200" s="2" t="s">
        <v>16</v>
      </c>
      <c r="E200" s="2" t="s">
        <v>14</v>
      </c>
      <c r="F200" s="2">
        <v>379.0</v>
      </c>
      <c r="G200" s="2">
        <v>6535.82</v>
      </c>
      <c r="H200" s="2">
        <v>2477074.0</v>
      </c>
      <c r="I200" s="2">
        <v>311.0</v>
      </c>
    </row>
    <row r="201" ht="15.75" customHeight="1">
      <c r="A201" s="2">
        <v>5.0</v>
      </c>
      <c r="B201" s="2" t="s">
        <v>32</v>
      </c>
      <c r="C201" s="2" t="s">
        <v>28</v>
      </c>
      <c r="D201" s="2" t="s">
        <v>16</v>
      </c>
      <c r="E201" s="2" t="s">
        <v>15</v>
      </c>
      <c r="F201" s="2">
        <v>873.0</v>
      </c>
      <c r="G201" s="2">
        <v>1077.19</v>
      </c>
      <c r="H201" s="2">
        <v>940391.0</v>
      </c>
      <c r="I201" s="2">
        <v>776.0</v>
      </c>
    </row>
    <row r="202" ht="15.75" customHeight="1">
      <c r="A202" s="2">
        <v>5.0</v>
      </c>
      <c r="B202" s="2" t="s">
        <v>32</v>
      </c>
      <c r="C202" s="2" t="s">
        <v>28</v>
      </c>
      <c r="D202" s="2" t="s">
        <v>17</v>
      </c>
      <c r="E202" s="2" t="s">
        <v>12</v>
      </c>
      <c r="F202" s="2">
        <v>677.0</v>
      </c>
      <c r="G202" s="2">
        <v>5628.99</v>
      </c>
      <c r="H202" s="2">
        <v>3810829.0</v>
      </c>
      <c r="I202" s="2">
        <v>480.0</v>
      </c>
    </row>
    <row r="203" ht="15.75" customHeight="1">
      <c r="A203" s="2">
        <v>5.0</v>
      </c>
      <c r="B203" s="2" t="s">
        <v>32</v>
      </c>
      <c r="C203" s="2" t="s">
        <v>28</v>
      </c>
      <c r="D203" s="2" t="s">
        <v>17</v>
      </c>
      <c r="E203" s="2" t="s">
        <v>13</v>
      </c>
      <c r="F203" s="2">
        <v>155.0</v>
      </c>
      <c r="G203" s="2">
        <v>21300.77</v>
      </c>
      <c r="H203" s="2">
        <v>3301620.0</v>
      </c>
      <c r="I203" s="2">
        <v>113.0</v>
      </c>
    </row>
    <row r="204" ht="15.75" customHeight="1">
      <c r="A204" s="2">
        <v>5.0</v>
      </c>
      <c r="B204" s="2" t="s">
        <v>32</v>
      </c>
      <c r="C204" s="2" t="s">
        <v>28</v>
      </c>
      <c r="D204" s="2" t="s">
        <v>17</v>
      </c>
      <c r="E204" s="2" t="s">
        <v>14</v>
      </c>
      <c r="F204" s="2">
        <v>202.0</v>
      </c>
      <c r="G204" s="2">
        <v>6708.59</v>
      </c>
      <c r="H204" s="2">
        <v>1355134.0</v>
      </c>
      <c r="I204" s="2">
        <v>168.0</v>
      </c>
    </row>
    <row r="205" ht="15.75" customHeight="1">
      <c r="A205" s="2">
        <v>5.0</v>
      </c>
      <c r="B205" s="2" t="s">
        <v>32</v>
      </c>
      <c r="C205" s="2" t="s">
        <v>28</v>
      </c>
      <c r="D205" s="2" t="s">
        <v>17</v>
      </c>
      <c r="E205" s="2" t="s">
        <v>15</v>
      </c>
      <c r="F205" s="2">
        <v>673.0</v>
      </c>
      <c r="G205" s="2">
        <v>1296.86</v>
      </c>
      <c r="H205" s="2">
        <v>872788.0</v>
      </c>
      <c r="I205" s="2">
        <v>546.0</v>
      </c>
    </row>
    <row r="206" ht="15.75" customHeight="1">
      <c r="A206" s="2">
        <v>5.0</v>
      </c>
      <c r="B206" s="2" t="s">
        <v>32</v>
      </c>
      <c r="C206" s="2" t="s">
        <v>28</v>
      </c>
      <c r="D206" s="2" t="s">
        <v>18</v>
      </c>
      <c r="E206" s="2" t="s">
        <v>12</v>
      </c>
      <c r="F206" s="2">
        <v>614.0</v>
      </c>
      <c r="G206" s="2">
        <v>5358.73</v>
      </c>
      <c r="H206" s="2">
        <v>3290262.0</v>
      </c>
      <c r="I206" s="2">
        <v>457.0</v>
      </c>
    </row>
    <row r="207" ht="15.75" customHeight="1">
      <c r="A207" s="2">
        <v>5.0</v>
      </c>
      <c r="B207" s="2" t="s">
        <v>32</v>
      </c>
      <c r="C207" s="2" t="s">
        <v>28</v>
      </c>
      <c r="D207" s="2" t="s">
        <v>18</v>
      </c>
      <c r="E207" s="2" t="s">
        <v>13</v>
      </c>
      <c r="F207" s="2">
        <v>138.0</v>
      </c>
      <c r="G207" s="2">
        <v>21108.98</v>
      </c>
      <c r="H207" s="2">
        <v>2913040.0</v>
      </c>
      <c r="I207" s="2">
        <v>107.0</v>
      </c>
    </row>
    <row r="208" ht="15.75" customHeight="1">
      <c r="A208" s="2">
        <v>5.0</v>
      </c>
      <c r="B208" s="2" t="s">
        <v>32</v>
      </c>
      <c r="C208" s="2" t="s">
        <v>28</v>
      </c>
      <c r="D208" s="2" t="s">
        <v>18</v>
      </c>
      <c r="E208" s="2" t="s">
        <v>14</v>
      </c>
      <c r="F208" s="2">
        <v>430.0</v>
      </c>
      <c r="G208" s="2">
        <v>6722.58</v>
      </c>
      <c r="H208" s="2">
        <v>2890709.0</v>
      </c>
      <c r="I208" s="2">
        <v>326.0</v>
      </c>
    </row>
    <row r="209" ht="15.75" customHeight="1">
      <c r="A209" s="2">
        <v>5.0</v>
      </c>
      <c r="B209" s="2" t="s">
        <v>32</v>
      </c>
      <c r="C209" s="2" t="s">
        <v>28</v>
      </c>
      <c r="D209" s="2" t="s">
        <v>18</v>
      </c>
      <c r="E209" s="2" t="s">
        <v>15</v>
      </c>
      <c r="F209" s="2">
        <v>924.0</v>
      </c>
      <c r="G209" s="2">
        <v>1112.5</v>
      </c>
      <c r="H209" s="2">
        <v>1027949.0</v>
      </c>
      <c r="I209" s="2">
        <v>783.0</v>
      </c>
    </row>
    <row r="210" ht="15.75" customHeight="1">
      <c r="A210" s="2">
        <v>5.0</v>
      </c>
      <c r="B210" s="2" t="s">
        <v>32</v>
      </c>
      <c r="C210" s="2" t="s">
        <v>28</v>
      </c>
      <c r="D210" s="2" t="s">
        <v>19</v>
      </c>
      <c r="E210" s="2" t="s">
        <v>12</v>
      </c>
      <c r="F210" s="2">
        <v>1179.0</v>
      </c>
      <c r="G210" s="2">
        <v>5568.62</v>
      </c>
      <c r="H210" s="2">
        <v>6565403.0</v>
      </c>
      <c r="I210" s="2">
        <v>966.0</v>
      </c>
    </row>
    <row r="211" ht="15.75" customHeight="1">
      <c r="A211" s="2">
        <v>5.0</v>
      </c>
      <c r="B211" s="2" t="s">
        <v>32</v>
      </c>
      <c r="C211" s="2" t="s">
        <v>28</v>
      </c>
      <c r="D211" s="2" t="s">
        <v>19</v>
      </c>
      <c r="E211" s="2" t="s">
        <v>13</v>
      </c>
      <c r="F211" s="2">
        <v>210.0</v>
      </c>
      <c r="G211" s="2">
        <v>20453.87</v>
      </c>
      <c r="H211" s="2">
        <v>4295314.0</v>
      </c>
      <c r="I211" s="2">
        <v>185.0</v>
      </c>
    </row>
    <row r="212" ht="15.75" customHeight="1">
      <c r="A212" s="2">
        <v>5.0</v>
      </c>
      <c r="B212" s="2" t="s">
        <v>32</v>
      </c>
      <c r="C212" s="2" t="s">
        <v>28</v>
      </c>
      <c r="D212" s="2" t="s">
        <v>19</v>
      </c>
      <c r="E212" s="2" t="s">
        <v>14</v>
      </c>
      <c r="F212" s="2">
        <v>310.0</v>
      </c>
      <c r="G212" s="2">
        <v>6567.85</v>
      </c>
      <c r="H212" s="2">
        <v>2036033.0</v>
      </c>
      <c r="I212" s="2">
        <v>226.0</v>
      </c>
    </row>
    <row r="213" ht="15.75" customHeight="1">
      <c r="A213" s="2">
        <v>5.0</v>
      </c>
      <c r="B213" s="2" t="s">
        <v>32</v>
      </c>
      <c r="C213" s="2" t="s">
        <v>28</v>
      </c>
      <c r="D213" s="2" t="s">
        <v>19</v>
      </c>
      <c r="E213" s="2" t="s">
        <v>15</v>
      </c>
      <c r="F213" s="2">
        <v>824.0</v>
      </c>
      <c r="G213" s="2">
        <v>1358.2</v>
      </c>
      <c r="H213" s="2">
        <v>1119160.0</v>
      </c>
      <c r="I213" s="2">
        <v>646.0</v>
      </c>
    </row>
    <row r="214" ht="15.75" customHeight="1">
      <c r="A214" s="2">
        <v>5.0</v>
      </c>
      <c r="B214" s="2" t="s">
        <v>32</v>
      </c>
      <c r="C214" s="2" t="s">
        <v>28</v>
      </c>
      <c r="D214" s="2" t="s">
        <v>20</v>
      </c>
      <c r="E214" s="2" t="s">
        <v>12</v>
      </c>
      <c r="F214" s="2">
        <v>881.0</v>
      </c>
      <c r="G214" s="2">
        <v>5016.96</v>
      </c>
      <c r="H214" s="2">
        <v>4419941.0</v>
      </c>
      <c r="I214" s="2">
        <v>726.0</v>
      </c>
    </row>
    <row r="215" ht="15.75" customHeight="1">
      <c r="A215" s="2">
        <v>5.0</v>
      </c>
      <c r="B215" s="2" t="s">
        <v>32</v>
      </c>
      <c r="C215" s="2" t="s">
        <v>28</v>
      </c>
      <c r="D215" s="2" t="s">
        <v>20</v>
      </c>
      <c r="E215" s="2" t="s">
        <v>13</v>
      </c>
      <c r="F215" s="2">
        <v>220.0</v>
      </c>
      <c r="G215" s="2">
        <v>21976.32</v>
      </c>
      <c r="H215" s="2">
        <v>4834791.0</v>
      </c>
      <c r="I215" s="2">
        <v>167.0</v>
      </c>
    </row>
    <row r="216" ht="15.75" customHeight="1">
      <c r="A216" s="2">
        <v>5.0</v>
      </c>
      <c r="B216" s="2" t="s">
        <v>32</v>
      </c>
      <c r="C216" s="2" t="s">
        <v>28</v>
      </c>
      <c r="D216" s="2" t="s">
        <v>20</v>
      </c>
      <c r="E216" s="2" t="s">
        <v>14</v>
      </c>
      <c r="F216" s="2">
        <v>349.0</v>
      </c>
      <c r="G216" s="2">
        <v>6514.87</v>
      </c>
      <c r="H216" s="2">
        <v>2273691.0</v>
      </c>
      <c r="I216" s="2">
        <v>286.0</v>
      </c>
    </row>
    <row r="217" ht="15.75" customHeight="1">
      <c r="A217" s="2">
        <v>5.0</v>
      </c>
      <c r="B217" s="2" t="s">
        <v>32</v>
      </c>
      <c r="C217" s="2" t="s">
        <v>28</v>
      </c>
      <c r="D217" s="2" t="s">
        <v>20</v>
      </c>
      <c r="E217" s="2" t="s">
        <v>15</v>
      </c>
      <c r="F217" s="2">
        <v>749.0</v>
      </c>
      <c r="G217" s="2">
        <v>1074.12</v>
      </c>
      <c r="H217" s="2">
        <v>804513.0</v>
      </c>
      <c r="I217" s="2">
        <v>559.0</v>
      </c>
    </row>
    <row r="218" ht="15.75" customHeight="1">
      <c r="A218" s="2">
        <v>5.0</v>
      </c>
      <c r="B218" s="2" t="s">
        <v>32</v>
      </c>
      <c r="C218" s="2" t="s">
        <v>28</v>
      </c>
      <c r="D218" s="2" t="s">
        <v>21</v>
      </c>
      <c r="E218" s="2" t="s">
        <v>12</v>
      </c>
      <c r="F218" s="2">
        <v>949.0</v>
      </c>
      <c r="G218" s="2">
        <v>5309.7</v>
      </c>
      <c r="H218" s="2">
        <v>5038909.0</v>
      </c>
      <c r="I218" s="2">
        <v>761.0</v>
      </c>
    </row>
    <row r="219" ht="15.75" customHeight="1">
      <c r="A219" s="2">
        <v>5.0</v>
      </c>
      <c r="B219" s="2" t="s">
        <v>32</v>
      </c>
      <c r="C219" s="2" t="s">
        <v>28</v>
      </c>
      <c r="D219" s="2" t="s">
        <v>21</v>
      </c>
      <c r="E219" s="2" t="s">
        <v>13</v>
      </c>
      <c r="F219" s="2">
        <v>135.0</v>
      </c>
      <c r="G219" s="2">
        <v>20835.24</v>
      </c>
      <c r="H219" s="2">
        <v>2812757.0</v>
      </c>
      <c r="I219" s="2">
        <v>128.0</v>
      </c>
    </row>
    <row r="220" ht="15.75" customHeight="1">
      <c r="A220" s="2">
        <v>5.0</v>
      </c>
      <c r="B220" s="2" t="s">
        <v>32</v>
      </c>
      <c r="C220" s="2" t="s">
        <v>28</v>
      </c>
      <c r="D220" s="2" t="s">
        <v>21</v>
      </c>
      <c r="E220" s="2" t="s">
        <v>14</v>
      </c>
      <c r="F220" s="2">
        <v>205.0</v>
      </c>
      <c r="G220" s="2">
        <v>6817.08</v>
      </c>
      <c r="H220" s="2">
        <v>1397501.0</v>
      </c>
      <c r="I220" s="2">
        <v>187.0</v>
      </c>
    </row>
    <row r="221" ht="15.75" customHeight="1">
      <c r="A221" s="2">
        <v>5.0</v>
      </c>
      <c r="B221" s="2" t="s">
        <v>32</v>
      </c>
      <c r="C221" s="2" t="s">
        <v>28</v>
      </c>
      <c r="D221" s="2" t="s">
        <v>21</v>
      </c>
      <c r="E221" s="2" t="s">
        <v>15</v>
      </c>
      <c r="F221" s="2">
        <v>1045.0</v>
      </c>
      <c r="G221" s="2">
        <v>1191.51</v>
      </c>
      <c r="H221" s="2">
        <v>1245127.0</v>
      </c>
      <c r="I221" s="2">
        <v>986.0</v>
      </c>
    </row>
    <row r="222" ht="15.75" customHeight="1">
      <c r="A222" s="2">
        <v>5.0</v>
      </c>
      <c r="B222" s="2" t="s">
        <v>32</v>
      </c>
      <c r="C222" s="2" t="s">
        <v>28</v>
      </c>
      <c r="D222" s="2" t="s">
        <v>22</v>
      </c>
      <c r="E222" s="2" t="s">
        <v>12</v>
      </c>
      <c r="F222" s="2">
        <v>1103.0</v>
      </c>
      <c r="G222" s="2">
        <v>5463.17</v>
      </c>
      <c r="H222" s="2">
        <v>6025877.0</v>
      </c>
      <c r="I222" s="2">
        <v>970.0</v>
      </c>
    </row>
    <row r="223" ht="15.75" customHeight="1">
      <c r="A223" s="2">
        <v>5.0</v>
      </c>
      <c r="B223" s="2" t="s">
        <v>32</v>
      </c>
      <c r="C223" s="2" t="s">
        <v>28</v>
      </c>
      <c r="D223" s="2" t="s">
        <v>22</v>
      </c>
      <c r="E223" s="2" t="s">
        <v>13</v>
      </c>
      <c r="F223" s="2">
        <v>235.0</v>
      </c>
      <c r="G223" s="2">
        <v>21953.4</v>
      </c>
      <c r="H223" s="2">
        <v>5159050.0</v>
      </c>
      <c r="I223" s="2">
        <v>192.0</v>
      </c>
    </row>
    <row r="224" ht="15.75" customHeight="1">
      <c r="A224" s="2">
        <v>5.0</v>
      </c>
      <c r="B224" s="2" t="s">
        <v>32</v>
      </c>
      <c r="C224" s="2" t="s">
        <v>28</v>
      </c>
      <c r="D224" s="2" t="s">
        <v>22</v>
      </c>
      <c r="E224" s="2" t="s">
        <v>14</v>
      </c>
      <c r="F224" s="2">
        <v>372.0</v>
      </c>
      <c r="G224" s="2">
        <v>6501.21</v>
      </c>
      <c r="H224" s="2">
        <v>2418451.0</v>
      </c>
      <c r="I224" s="2">
        <v>290.0</v>
      </c>
    </row>
    <row r="225" ht="15.75" customHeight="1">
      <c r="A225" s="2">
        <v>5.0</v>
      </c>
      <c r="B225" s="2" t="s">
        <v>32</v>
      </c>
      <c r="C225" s="2" t="s">
        <v>28</v>
      </c>
      <c r="D225" s="2" t="s">
        <v>22</v>
      </c>
      <c r="E225" s="2" t="s">
        <v>15</v>
      </c>
      <c r="F225" s="2">
        <v>1186.0</v>
      </c>
      <c r="G225" s="2">
        <v>1257.06</v>
      </c>
      <c r="H225" s="2">
        <v>1490873.0</v>
      </c>
      <c r="I225" s="2">
        <v>889.0</v>
      </c>
    </row>
    <row r="226" ht="15.75" customHeight="1">
      <c r="A226" s="2">
        <v>5.0</v>
      </c>
      <c r="B226" s="2" t="s">
        <v>32</v>
      </c>
      <c r="C226" s="2" t="s">
        <v>28</v>
      </c>
      <c r="D226" s="2" t="s">
        <v>23</v>
      </c>
      <c r="E226" s="2" t="s">
        <v>12</v>
      </c>
      <c r="F226" s="2">
        <v>1131.0</v>
      </c>
      <c r="G226" s="2">
        <v>5208.28</v>
      </c>
      <c r="H226" s="2">
        <v>5890560.0</v>
      </c>
      <c r="I226" s="2">
        <v>964.0</v>
      </c>
    </row>
    <row r="227" ht="15.75" customHeight="1">
      <c r="A227" s="2">
        <v>5.0</v>
      </c>
      <c r="B227" s="2" t="s">
        <v>32</v>
      </c>
      <c r="C227" s="2" t="s">
        <v>28</v>
      </c>
      <c r="D227" s="2" t="s">
        <v>23</v>
      </c>
      <c r="E227" s="2" t="s">
        <v>13</v>
      </c>
      <c r="F227" s="2">
        <v>163.0</v>
      </c>
      <c r="G227" s="2">
        <v>21254.63</v>
      </c>
      <c r="H227" s="2">
        <v>3464504.0</v>
      </c>
      <c r="I227" s="2">
        <v>117.0</v>
      </c>
    </row>
    <row r="228" ht="15.75" customHeight="1">
      <c r="A228" s="2">
        <v>5.0</v>
      </c>
      <c r="B228" s="2" t="s">
        <v>32</v>
      </c>
      <c r="C228" s="2" t="s">
        <v>28</v>
      </c>
      <c r="D228" s="2" t="s">
        <v>23</v>
      </c>
      <c r="E228" s="2" t="s">
        <v>14</v>
      </c>
      <c r="F228" s="2">
        <v>338.0</v>
      </c>
      <c r="G228" s="2">
        <v>6640.61</v>
      </c>
      <c r="H228" s="2">
        <v>2244527.0</v>
      </c>
      <c r="I228" s="2">
        <v>286.0</v>
      </c>
    </row>
    <row r="229" ht="15.75" customHeight="1">
      <c r="A229" s="2">
        <v>5.0</v>
      </c>
      <c r="B229" s="2" t="s">
        <v>32</v>
      </c>
      <c r="C229" s="2" t="s">
        <v>28</v>
      </c>
      <c r="D229" s="2" t="s">
        <v>23</v>
      </c>
      <c r="E229" s="2" t="s">
        <v>15</v>
      </c>
      <c r="F229" s="2">
        <v>1089.0</v>
      </c>
      <c r="G229" s="2">
        <v>1247.68</v>
      </c>
      <c r="H229" s="2">
        <v>1358727.0</v>
      </c>
      <c r="I229" s="2">
        <v>885.0</v>
      </c>
    </row>
    <row r="230" ht="15.75" customHeight="1">
      <c r="A230" s="2">
        <v>5.0</v>
      </c>
      <c r="B230" s="2" t="s">
        <v>32</v>
      </c>
      <c r="C230" s="2" t="s">
        <v>28</v>
      </c>
      <c r="D230" s="2" t="s">
        <v>24</v>
      </c>
      <c r="E230" s="2" t="s">
        <v>12</v>
      </c>
      <c r="F230" s="2">
        <v>860.0</v>
      </c>
      <c r="G230" s="2">
        <v>5501.26</v>
      </c>
      <c r="H230" s="2">
        <v>4731082.0</v>
      </c>
      <c r="I230" s="2">
        <v>656.0</v>
      </c>
    </row>
    <row r="231" ht="15.75" customHeight="1">
      <c r="A231" s="2">
        <v>5.0</v>
      </c>
      <c r="B231" s="2" t="s">
        <v>32</v>
      </c>
      <c r="C231" s="2" t="s">
        <v>28</v>
      </c>
      <c r="D231" s="2" t="s">
        <v>24</v>
      </c>
      <c r="E231" s="2" t="s">
        <v>13</v>
      </c>
      <c r="F231" s="2">
        <v>200.0</v>
      </c>
      <c r="G231" s="2">
        <v>21038.49</v>
      </c>
      <c r="H231" s="2">
        <v>4207697.0</v>
      </c>
      <c r="I231" s="2">
        <v>140.0</v>
      </c>
    </row>
    <row r="232" ht="15.75" customHeight="1">
      <c r="A232" s="2">
        <v>5.0</v>
      </c>
      <c r="B232" s="2" t="s">
        <v>32</v>
      </c>
      <c r="C232" s="2" t="s">
        <v>28</v>
      </c>
      <c r="D232" s="2" t="s">
        <v>24</v>
      </c>
      <c r="E232" s="2" t="s">
        <v>14</v>
      </c>
      <c r="F232" s="2">
        <v>464.0</v>
      </c>
      <c r="G232" s="2">
        <v>6483.0</v>
      </c>
      <c r="H232" s="2">
        <v>3008111.0</v>
      </c>
      <c r="I232" s="2">
        <v>372.0</v>
      </c>
    </row>
    <row r="233" ht="15.75" customHeight="1">
      <c r="A233" s="2">
        <v>5.0</v>
      </c>
      <c r="B233" s="2" t="s">
        <v>32</v>
      </c>
      <c r="C233" s="2" t="s">
        <v>28</v>
      </c>
      <c r="D233" s="2" t="s">
        <v>24</v>
      </c>
      <c r="E233" s="2" t="s">
        <v>15</v>
      </c>
      <c r="F233" s="2">
        <v>1005.0</v>
      </c>
      <c r="G233" s="2">
        <v>1443.38</v>
      </c>
      <c r="H233" s="2">
        <v>1450602.0</v>
      </c>
      <c r="I233" s="2">
        <v>730.0</v>
      </c>
    </row>
    <row r="234" ht="15.75" customHeight="1">
      <c r="A234" s="2">
        <v>5.0</v>
      </c>
      <c r="B234" s="2" t="s">
        <v>32</v>
      </c>
      <c r="C234" s="2" t="s">
        <v>28</v>
      </c>
      <c r="D234" s="2" t="s">
        <v>25</v>
      </c>
      <c r="E234" s="2" t="s">
        <v>12</v>
      </c>
      <c r="F234" s="2">
        <v>1180.0</v>
      </c>
      <c r="G234" s="2">
        <v>5374.23</v>
      </c>
      <c r="H234" s="2">
        <v>6341590.0</v>
      </c>
      <c r="I234" s="2">
        <v>1102.0</v>
      </c>
    </row>
    <row r="235" ht="15.75" customHeight="1">
      <c r="A235" s="2">
        <v>5.0</v>
      </c>
      <c r="B235" s="2" t="s">
        <v>32</v>
      </c>
      <c r="C235" s="2" t="s">
        <v>28</v>
      </c>
      <c r="D235" s="2" t="s">
        <v>25</v>
      </c>
      <c r="E235" s="2" t="s">
        <v>13</v>
      </c>
      <c r="F235" s="2">
        <v>175.0</v>
      </c>
      <c r="G235" s="2">
        <v>21016.81</v>
      </c>
      <c r="H235" s="2">
        <v>3677942.0</v>
      </c>
      <c r="I235" s="2">
        <v>139.0</v>
      </c>
    </row>
    <row r="236" ht="15.75" customHeight="1">
      <c r="A236" s="2">
        <v>5.0</v>
      </c>
      <c r="B236" s="2" t="s">
        <v>32</v>
      </c>
      <c r="C236" s="2" t="s">
        <v>28</v>
      </c>
      <c r="D236" s="2" t="s">
        <v>25</v>
      </c>
      <c r="E236" s="2" t="s">
        <v>14</v>
      </c>
      <c r="F236" s="2">
        <v>200.0</v>
      </c>
      <c r="G236" s="2">
        <v>6846.41</v>
      </c>
      <c r="H236" s="2">
        <v>1369283.0</v>
      </c>
      <c r="I236" s="2">
        <v>182.0</v>
      </c>
    </row>
    <row r="237" ht="15.75" customHeight="1">
      <c r="A237" s="2">
        <v>5.0</v>
      </c>
      <c r="B237" s="2" t="s">
        <v>32</v>
      </c>
      <c r="C237" s="2" t="s">
        <v>28</v>
      </c>
      <c r="D237" s="2" t="s">
        <v>25</v>
      </c>
      <c r="E237" s="2" t="s">
        <v>15</v>
      </c>
      <c r="F237" s="2">
        <v>1178.0</v>
      </c>
      <c r="G237" s="2">
        <v>1358.01</v>
      </c>
      <c r="H237" s="2">
        <v>1599740.0</v>
      </c>
      <c r="I237" s="2">
        <v>1058.0</v>
      </c>
    </row>
    <row r="238" ht="15.75" customHeight="1">
      <c r="A238" s="2">
        <v>5.0</v>
      </c>
      <c r="B238" s="2" t="s">
        <v>32</v>
      </c>
      <c r="C238" s="2" t="s">
        <v>28</v>
      </c>
      <c r="D238" s="2" t="s">
        <v>26</v>
      </c>
      <c r="E238" s="2" t="s">
        <v>12</v>
      </c>
      <c r="F238" s="2">
        <v>869.0</v>
      </c>
      <c r="G238" s="2">
        <v>5403.22</v>
      </c>
      <c r="H238" s="2">
        <v>4695402.0</v>
      </c>
      <c r="I238" s="2">
        <v>648.0</v>
      </c>
    </row>
    <row r="239" ht="15.75" customHeight="1">
      <c r="A239" s="2">
        <v>5.0</v>
      </c>
      <c r="B239" s="2" t="s">
        <v>32</v>
      </c>
      <c r="C239" s="2" t="s">
        <v>28</v>
      </c>
      <c r="D239" s="2" t="s">
        <v>26</v>
      </c>
      <c r="E239" s="2" t="s">
        <v>13</v>
      </c>
      <c r="F239" s="2">
        <v>182.0</v>
      </c>
      <c r="G239" s="2">
        <v>21880.39</v>
      </c>
      <c r="H239" s="2">
        <v>3982232.0</v>
      </c>
      <c r="I239" s="2">
        <v>157.0</v>
      </c>
    </row>
    <row r="240" ht="15.75" customHeight="1">
      <c r="A240" s="2">
        <v>5.0</v>
      </c>
      <c r="B240" s="2" t="s">
        <v>32</v>
      </c>
      <c r="C240" s="2" t="s">
        <v>28</v>
      </c>
      <c r="D240" s="2" t="s">
        <v>26</v>
      </c>
      <c r="E240" s="2" t="s">
        <v>14</v>
      </c>
      <c r="F240" s="2">
        <v>261.0</v>
      </c>
      <c r="G240" s="2">
        <v>6961.34</v>
      </c>
      <c r="H240" s="2">
        <v>1816909.0</v>
      </c>
      <c r="I240" s="2">
        <v>208.0</v>
      </c>
    </row>
    <row r="241" ht="15.75" customHeight="1">
      <c r="A241" s="2">
        <v>5.0</v>
      </c>
      <c r="B241" s="2" t="s">
        <v>32</v>
      </c>
      <c r="C241" s="2" t="s">
        <v>28</v>
      </c>
      <c r="D241" s="2" t="s">
        <v>26</v>
      </c>
      <c r="E241" s="2" t="s">
        <v>15</v>
      </c>
      <c r="F241" s="2">
        <v>695.0</v>
      </c>
      <c r="G241" s="2">
        <v>1167.4</v>
      </c>
      <c r="H241" s="2">
        <v>811341.0</v>
      </c>
      <c r="I241" s="2">
        <v>565.0</v>
      </c>
    </row>
    <row r="242" ht="15.75" customHeight="1">
      <c r="A242" s="2">
        <v>6.0</v>
      </c>
      <c r="B242" s="2" t="s">
        <v>33</v>
      </c>
      <c r="C242" s="2" t="s">
        <v>34</v>
      </c>
      <c r="D242" s="2" t="s">
        <v>11</v>
      </c>
      <c r="E242" s="2" t="s">
        <v>12</v>
      </c>
      <c r="F242" s="2">
        <v>1125.0</v>
      </c>
      <c r="G242" s="2">
        <v>5350.04</v>
      </c>
      <c r="H242" s="2">
        <v>6018793.0</v>
      </c>
      <c r="I242" s="2">
        <v>939.0</v>
      </c>
    </row>
    <row r="243" ht="15.75" customHeight="1">
      <c r="A243" s="2">
        <v>6.0</v>
      </c>
      <c r="B243" s="2" t="s">
        <v>33</v>
      </c>
      <c r="C243" s="2" t="s">
        <v>34</v>
      </c>
      <c r="D243" s="2" t="s">
        <v>11</v>
      </c>
      <c r="E243" s="2" t="s">
        <v>13</v>
      </c>
      <c r="F243" s="2">
        <v>162.0</v>
      </c>
      <c r="G243" s="2">
        <v>22144.59</v>
      </c>
      <c r="H243" s="2">
        <v>3587423.0</v>
      </c>
      <c r="I243" s="2">
        <v>133.0</v>
      </c>
    </row>
    <row r="244" ht="15.75" customHeight="1">
      <c r="A244" s="2">
        <v>6.0</v>
      </c>
      <c r="B244" s="2" t="s">
        <v>33</v>
      </c>
      <c r="C244" s="2" t="s">
        <v>34</v>
      </c>
      <c r="D244" s="2" t="s">
        <v>11</v>
      </c>
      <c r="E244" s="2" t="s">
        <v>14</v>
      </c>
      <c r="F244" s="2">
        <v>352.0</v>
      </c>
      <c r="G244" s="2">
        <v>6336.85</v>
      </c>
      <c r="H244" s="2">
        <v>2230571.0</v>
      </c>
      <c r="I244" s="2">
        <v>293.0</v>
      </c>
    </row>
    <row r="245" ht="15.75" customHeight="1">
      <c r="A245" s="2">
        <v>6.0</v>
      </c>
      <c r="B245" s="2" t="s">
        <v>33</v>
      </c>
      <c r="C245" s="2" t="s">
        <v>34</v>
      </c>
      <c r="D245" s="2" t="s">
        <v>11</v>
      </c>
      <c r="E245" s="2" t="s">
        <v>15</v>
      </c>
      <c r="F245" s="2">
        <v>1015.0</v>
      </c>
      <c r="G245" s="2">
        <v>1038.66</v>
      </c>
      <c r="H245" s="2">
        <v>1054239.0</v>
      </c>
      <c r="I245" s="2">
        <v>768.0</v>
      </c>
    </row>
    <row r="246" ht="15.75" customHeight="1">
      <c r="A246" s="2">
        <v>6.0</v>
      </c>
      <c r="B246" s="2" t="s">
        <v>33</v>
      </c>
      <c r="C246" s="2" t="s">
        <v>34</v>
      </c>
      <c r="D246" s="2" t="s">
        <v>16</v>
      </c>
      <c r="E246" s="2" t="s">
        <v>12</v>
      </c>
      <c r="F246" s="2">
        <v>638.0</v>
      </c>
      <c r="G246" s="2">
        <v>5004.28</v>
      </c>
      <c r="H246" s="2">
        <v>3192732.0</v>
      </c>
      <c r="I246" s="2">
        <v>468.0</v>
      </c>
    </row>
    <row r="247" ht="15.75" customHeight="1">
      <c r="A247" s="2">
        <v>6.0</v>
      </c>
      <c r="B247" s="2" t="s">
        <v>33</v>
      </c>
      <c r="C247" s="2" t="s">
        <v>34</v>
      </c>
      <c r="D247" s="2" t="s">
        <v>16</v>
      </c>
      <c r="E247" s="2" t="s">
        <v>13</v>
      </c>
      <c r="F247" s="2">
        <v>114.0</v>
      </c>
      <c r="G247" s="2">
        <v>22415.0</v>
      </c>
      <c r="H247" s="2">
        <v>2555310.0</v>
      </c>
      <c r="I247" s="2">
        <v>104.0</v>
      </c>
    </row>
    <row r="248" ht="15.75" customHeight="1">
      <c r="A248" s="2">
        <v>6.0</v>
      </c>
      <c r="B248" s="2" t="s">
        <v>33</v>
      </c>
      <c r="C248" s="2" t="s">
        <v>34</v>
      </c>
      <c r="D248" s="2" t="s">
        <v>16</v>
      </c>
      <c r="E248" s="2" t="s">
        <v>14</v>
      </c>
      <c r="F248" s="2">
        <v>488.0</v>
      </c>
      <c r="G248" s="2">
        <v>6989.78</v>
      </c>
      <c r="H248" s="2">
        <v>3411011.0</v>
      </c>
      <c r="I248" s="2">
        <v>437.0</v>
      </c>
    </row>
    <row r="249" ht="15.75" customHeight="1">
      <c r="A249" s="2">
        <v>6.0</v>
      </c>
      <c r="B249" s="2" t="s">
        <v>33</v>
      </c>
      <c r="C249" s="2" t="s">
        <v>34</v>
      </c>
      <c r="D249" s="2" t="s">
        <v>16</v>
      </c>
      <c r="E249" s="2" t="s">
        <v>15</v>
      </c>
      <c r="F249" s="2">
        <v>949.0</v>
      </c>
      <c r="G249" s="2">
        <v>1208.21</v>
      </c>
      <c r="H249" s="2">
        <v>1146587.0</v>
      </c>
      <c r="I249" s="2">
        <v>842.0</v>
      </c>
    </row>
    <row r="250" ht="15.75" customHeight="1">
      <c r="A250" s="2">
        <v>6.0</v>
      </c>
      <c r="B250" s="2" t="s">
        <v>33</v>
      </c>
      <c r="C250" s="2" t="s">
        <v>34</v>
      </c>
      <c r="D250" s="2" t="s">
        <v>17</v>
      </c>
      <c r="E250" s="2" t="s">
        <v>12</v>
      </c>
      <c r="F250" s="2">
        <v>1010.0</v>
      </c>
      <c r="G250" s="2">
        <v>5601.95</v>
      </c>
      <c r="H250" s="2">
        <v>5657974.0</v>
      </c>
      <c r="I250" s="2">
        <v>928.0</v>
      </c>
    </row>
    <row r="251" ht="15.75" customHeight="1">
      <c r="A251" s="2">
        <v>6.0</v>
      </c>
      <c r="B251" s="2" t="s">
        <v>33</v>
      </c>
      <c r="C251" s="2" t="s">
        <v>34</v>
      </c>
      <c r="D251" s="2" t="s">
        <v>17</v>
      </c>
      <c r="E251" s="2" t="s">
        <v>13</v>
      </c>
      <c r="F251" s="2">
        <v>196.0</v>
      </c>
      <c r="G251" s="2">
        <v>21821.63</v>
      </c>
      <c r="H251" s="2">
        <v>4277039.0</v>
      </c>
      <c r="I251" s="2">
        <v>142.0</v>
      </c>
    </row>
    <row r="252" ht="15.75" customHeight="1">
      <c r="A252" s="2">
        <v>6.0</v>
      </c>
      <c r="B252" s="2" t="s">
        <v>33</v>
      </c>
      <c r="C252" s="2" t="s">
        <v>34</v>
      </c>
      <c r="D252" s="2" t="s">
        <v>17</v>
      </c>
      <c r="E252" s="2" t="s">
        <v>14</v>
      </c>
      <c r="F252" s="2">
        <v>358.0</v>
      </c>
      <c r="G252" s="2">
        <v>6466.17</v>
      </c>
      <c r="H252" s="2">
        <v>2314890.0</v>
      </c>
      <c r="I252" s="2">
        <v>304.0</v>
      </c>
    </row>
    <row r="253" ht="15.75" customHeight="1">
      <c r="A253" s="2">
        <v>6.0</v>
      </c>
      <c r="B253" s="2" t="s">
        <v>33</v>
      </c>
      <c r="C253" s="2" t="s">
        <v>34</v>
      </c>
      <c r="D253" s="2" t="s">
        <v>17</v>
      </c>
      <c r="E253" s="2" t="s">
        <v>15</v>
      </c>
      <c r="F253" s="2">
        <v>414.0</v>
      </c>
      <c r="G253" s="2">
        <v>980.35</v>
      </c>
      <c r="H253" s="2">
        <v>405864.0</v>
      </c>
      <c r="I253" s="2">
        <v>372.0</v>
      </c>
    </row>
    <row r="254" ht="15.75" customHeight="1">
      <c r="A254" s="2">
        <v>6.0</v>
      </c>
      <c r="B254" s="2" t="s">
        <v>33</v>
      </c>
      <c r="C254" s="2" t="s">
        <v>34</v>
      </c>
      <c r="D254" s="2" t="s">
        <v>18</v>
      </c>
      <c r="E254" s="2" t="s">
        <v>12</v>
      </c>
      <c r="F254" s="2">
        <v>860.0</v>
      </c>
      <c r="G254" s="2">
        <v>4785.41</v>
      </c>
      <c r="H254" s="2">
        <v>4115456.0</v>
      </c>
      <c r="I254" s="2">
        <v>767.0</v>
      </c>
    </row>
    <row r="255" ht="15.75" customHeight="1">
      <c r="A255" s="2">
        <v>6.0</v>
      </c>
      <c r="B255" s="2" t="s">
        <v>33</v>
      </c>
      <c r="C255" s="2" t="s">
        <v>34</v>
      </c>
      <c r="D255" s="2" t="s">
        <v>18</v>
      </c>
      <c r="E255" s="2" t="s">
        <v>13</v>
      </c>
      <c r="F255" s="2">
        <v>194.0</v>
      </c>
      <c r="G255" s="2">
        <v>21191.57</v>
      </c>
      <c r="H255" s="2">
        <v>4111164.0</v>
      </c>
      <c r="I255" s="2">
        <v>164.0</v>
      </c>
    </row>
    <row r="256" ht="15.75" customHeight="1">
      <c r="A256" s="2">
        <v>6.0</v>
      </c>
      <c r="B256" s="2" t="s">
        <v>33</v>
      </c>
      <c r="C256" s="2" t="s">
        <v>34</v>
      </c>
      <c r="D256" s="2" t="s">
        <v>18</v>
      </c>
      <c r="E256" s="2" t="s">
        <v>14</v>
      </c>
      <c r="F256" s="2">
        <v>491.0</v>
      </c>
      <c r="G256" s="2">
        <v>6915.43</v>
      </c>
      <c r="H256" s="2">
        <v>3395476.0</v>
      </c>
      <c r="I256" s="2">
        <v>445.0</v>
      </c>
    </row>
    <row r="257" ht="15.75" customHeight="1">
      <c r="A257" s="2">
        <v>6.0</v>
      </c>
      <c r="B257" s="2" t="s">
        <v>33</v>
      </c>
      <c r="C257" s="2" t="s">
        <v>34</v>
      </c>
      <c r="D257" s="2" t="s">
        <v>18</v>
      </c>
      <c r="E257" s="2" t="s">
        <v>15</v>
      </c>
      <c r="F257" s="2">
        <v>653.0</v>
      </c>
      <c r="G257" s="2">
        <v>1356.76</v>
      </c>
      <c r="H257" s="2">
        <v>885964.0</v>
      </c>
      <c r="I257" s="2">
        <v>605.0</v>
      </c>
    </row>
    <row r="258" ht="15.75" customHeight="1">
      <c r="A258" s="2">
        <v>6.0</v>
      </c>
      <c r="B258" s="2" t="s">
        <v>33</v>
      </c>
      <c r="C258" s="2" t="s">
        <v>34</v>
      </c>
      <c r="D258" s="2" t="s">
        <v>19</v>
      </c>
      <c r="E258" s="2" t="s">
        <v>12</v>
      </c>
      <c r="F258" s="2">
        <v>1149.0</v>
      </c>
      <c r="G258" s="2">
        <v>5218.61</v>
      </c>
      <c r="H258" s="2">
        <v>5996184.0</v>
      </c>
      <c r="I258" s="2">
        <v>887.0</v>
      </c>
    </row>
    <row r="259" ht="15.75" customHeight="1">
      <c r="A259" s="2">
        <v>6.0</v>
      </c>
      <c r="B259" s="2" t="s">
        <v>33</v>
      </c>
      <c r="C259" s="2" t="s">
        <v>34</v>
      </c>
      <c r="D259" s="2" t="s">
        <v>19</v>
      </c>
      <c r="E259" s="2" t="s">
        <v>13</v>
      </c>
      <c r="F259" s="2">
        <v>206.0</v>
      </c>
      <c r="G259" s="2">
        <v>20338.24</v>
      </c>
      <c r="H259" s="2">
        <v>4189677.0</v>
      </c>
      <c r="I259" s="2">
        <v>152.0</v>
      </c>
    </row>
    <row r="260" ht="15.75" customHeight="1">
      <c r="A260" s="2">
        <v>6.0</v>
      </c>
      <c r="B260" s="2" t="s">
        <v>33</v>
      </c>
      <c r="C260" s="2" t="s">
        <v>34</v>
      </c>
      <c r="D260" s="2" t="s">
        <v>19</v>
      </c>
      <c r="E260" s="2" t="s">
        <v>14</v>
      </c>
      <c r="F260" s="2">
        <v>340.0</v>
      </c>
      <c r="G260" s="2">
        <v>6960.35</v>
      </c>
      <c r="H260" s="2">
        <v>2366521.0</v>
      </c>
      <c r="I260" s="2">
        <v>288.0</v>
      </c>
    </row>
    <row r="261" ht="15.75" customHeight="1">
      <c r="A261" s="2">
        <v>6.0</v>
      </c>
      <c r="B261" s="2" t="s">
        <v>33</v>
      </c>
      <c r="C261" s="2" t="s">
        <v>34</v>
      </c>
      <c r="D261" s="2" t="s">
        <v>19</v>
      </c>
      <c r="E261" s="2" t="s">
        <v>15</v>
      </c>
      <c r="F261" s="2">
        <v>755.0</v>
      </c>
      <c r="G261" s="2">
        <v>1106.35</v>
      </c>
      <c r="H261" s="2">
        <v>835293.0</v>
      </c>
      <c r="I261" s="2">
        <v>701.0</v>
      </c>
    </row>
    <row r="262" ht="15.75" customHeight="1">
      <c r="A262" s="2">
        <v>6.0</v>
      </c>
      <c r="B262" s="2" t="s">
        <v>33</v>
      </c>
      <c r="C262" s="2" t="s">
        <v>34</v>
      </c>
      <c r="D262" s="2" t="s">
        <v>20</v>
      </c>
      <c r="E262" s="2" t="s">
        <v>12</v>
      </c>
      <c r="F262" s="2">
        <v>732.0</v>
      </c>
      <c r="G262" s="2">
        <v>5343.37</v>
      </c>
      <c r="H262" s="2">
        <v>3911348.0</v>
      </c>
      <c r="I262" s="2">
        <v>540.0</v>
      </c>
    </row>
    <row r="263" ht="15.75" customHeight="1">
      <c r="A263" s="2">
        <v>6.0</v>
      </c>
      <c r="B263" s="2" t="s">
        <v>33</v>
      </c>
      <c r="C263" s="2" t="s">
        <v>34</v>
      </c>
      <c r="D263" s="2" t="s">
        <v>20</v>
      </c>
      <c r="E263" s="2" t="s">
        <v>13</v>
      </c>
      <c r="F263" s="2">
        <v>191.0</v>
      </c>
      <c r="G263" s="2">
        <v>21853.69</v>
      </c>
      <c r="H263" s="2">
        <v>4174055.0</v>
      </c>
      <c r="I263" s="2">
        <v>151.0</v>
      </c>
    </row>
    <row r="264" ht="15.75" customHeight="1">
      <c r="A264" s="2">
        <v>6.0</v>
      </c>
      <c r="B264" s="2" t="s">
        <v>33</v>
      </c>
      <c r="C264" s="2" t="s">
        <v>34</v>
      </c>
      <c r="D264" s="2" t="s">
        <v>20</v>
      </c>
      <c r="E264" s="2" t="s">
        <v>14</v>
      </c>
      <c r="F264" s="2">
        <v>250.0</v>
      </c>
      <c r="G264" s="2">
        <v>6755.17</v>
      </c>
      <c r="H264" s="2">
        <v>1688791.0</v>
      </c>
      <c r="I264" s="2">
        <v>232.0</v>
      </c>
    </row>
    <row r="265" ht="15.75" customHeight="1">
      <c r="A265" s="2">
        <v>6.0</v>
      </c>
      <c r="B265" s="2" t="s">
        <v>33</v>
      </c>
      <c r="C265" s="2" t="s">
        <v>34</v>
      </c>
      <c r="D265" s="2" t="s">
        <v>20</v>
      </c>
      <c r="E265" s="2" t="s">
        <v>15</v>
      </c>
      <c r="F265" s="2">
        <v>806.0</v>
      </c>
      <c r="G265" s="2">
        <v>1210.01</v>
      </c>
      <c r="H265" s="2">
        <v>975268.0</v>
      </c>
      <c r="I265" s="2">
        <v>588.0</v>
      </c>
    </row>
    <row r="266" ht="15.75" customHeight="1">
      <c r="A266" s="2">
        <v>6.0</v>
      </c>
      <c r="B266" s="2" t="s">
        <v>33</v>
      </c>
      <c r="C266" s="2" t="s">
        <v>34</v>
      </c>
      <c r="D266" s="2" t="s">
        <v>21</v>
      </c>
      <c r="E266" s="2" t="s">
        <v>12</v>
      </c>
      <c r="F266" s="2">
        <v>1004.0</v>
      </c>
      <c r="G266" s="2">
        <v>5219.51</v>
      </c>
      <c r="H266" s="2">
        <v>5240388.0</v>
      </c>
      <c r="I266" s="2">
        <v>913.0</v>
      </c>
    </row>
    <row r="267" ht="15.75" customHeight="1">
      <c r="A267" s="2">
        <v>6.0</v>
      </c>
      <c r="B267" s="2" t="s">
        <v>33</v>
      </c>
      <c r="C267" s="2" t="s">
        <v>34</v>
      </c>
      <c r="D267" s="2" t="s">
        <v>21</v>
      </c>
      <c r="E267" s="2" t="s">
        <v>13</v>
      </c>
      <c r="F267" s="2">
        <v>100.0</v>
      </c>
      <c r="G267" s="2">
        <v>21156.69</v>
      </c>
      <c r="H267" s="2">
        <v>2115669.0</v>
      </c>
      <c r="I267" s="2">
        <v>91.0</v>
      </c>
    </row>
    <row r="268" ht="15.75" customHeight="1">
      <c r="A268" s="2">
        <v>6.0</v>
      </c>
      <c r="B268" s="2" t="s">
        <v>33</v>
      </c>
      <c r="C268" s="2" t="s">
        <v>34</v>
      </c>
      <c r="D268" s="2" t="s">
        <v>21</v>
      </c>
      <c r="E268" s="2" t="s">
        <v>14</v>
      </c>
      <c r="F268" s="2">
        <v>254.0</v>
      </c>
      <c r="G268" s="2">
        <v>6861.33</v>
      </c>
      <c r="H268" s="2">
        <v>1742778.0</v>
      </c>
      <c r="I268" s="2">
        <v>201.0</v>
      </c>
    </row>
    <row r="269" ht="15.75" customHeight="1">
      <c r="A269" s="2">
        <v>6.0</v>
      </c>
      <c r="B269" s="2" t="s">
        <v>33</v>
      </c>
      <c r="C269" s="2" t="s">
        <v>34</v>
      </c>
      <c r="D269" s="2" t="s">
        <v>21</v>
      </c>
      <c r="E269" s="2" t="s">
        <v>15</v>
      </c>
      <c r="F269" s="2">
        <v>708.0</v>
      </c>
      <c r="G269" s="2">
        <v>1064.13</v>
      </c>
      <c r="H269" s="2">
        <v>753403.0</v>
      </c>
      <c r="I269" s="2">
        <v>554.0</v>
      </c>
    </row>
    <row r="270" ht="15.75" customHeight="1">
      <c r="A270" s="2">
        <v>6.0</v>
      </c>
      <c r="B270" s="2" t="s">
        <v>33</v>
      </c>
      <c r="C270" s="2" t="s">
        <v>34</v>
      </c>
      <c r="D270" s="2" t="s">
        <v>22</v>
      </c>
      <c r="E270" s="2" t="s">
        <v>12</v>
      </c>
      <c r="F270" s="2">
        <v>1035.0</v>
      </c>
      <c r="G270" s="2">
        <v>5395.06</v>
      </c>
      <c r="H270" s="2">
        <v>5583891.0</v>
      </c>
      <c r="I270" s="2">
        <v>754.0</v>
      </c>
    </row>
    <row r="271" ht="15.75" customHeight="1">
      <c r="A271" s="2">
        <v>6.0</v>
      </c>
      <c r="B271" s="2" t="s">
        <v>33</v>
      </c>
      <c r="C271" s="2" t="s">
        <v>34</v>
      </c>
      <c r="D271" s="2" t="s">
        <v>22</v>
      </c>
      <c r="E271" s="2" t="s">
        <v>13</v>
      </c>
      <c r="F271" s="2">
        <v>124.0</v>
      </c>
      <c r="G271" s="2">
        <v>22555.07</v>
      </c>
      <c r="H271" s="2">
        <v>2796829.0</v>
      </c>
      <c r="I271" s="2">
        <v>113.0</v>
      </c>
    </row>
    <row r="272" ht="15.75" customHeight="1">
      <c r="A272" s="2">
        <v>6.0</v>
      </c>
      <c r="B272" s="2" t="s">
        <v>33</v>
      </c>
      <c r="C272" s="2" t="s">
        <v>34</v>
      </c>
      <c r="D272" s="2" t="s">
        <v>22</v>
      </c>
      <c r="E272" s="2" t="s">
        <v>14</v>
      </c>
      <c r="F272" s="2">
        <v>493.0</v>
      </c>
      <c r="G272" s="2">
        <v>6313.01</v>
      </c>
      <c r="H272" s="2">
        <v>3112315.0</v>
      </c>
      <c r="I272" s="2">
        <v>435.0</v>
      </c>
    </row>
    <row r="273" ht="15.75" customHeight="1">
      <c r="A273" s="2">
        <v>6.0</v>
      </c>
      <c r="B273" s="2" t="s">
        <v>33</v>
      </c>
      <c r="C273" s="2" t="s">
        <v>34</v>
      </c>
      <c r="D273" s="2" t="s">
        <v>22</v>
      </c>
      <c r="E273" s="2" t="s">
        <v>15</v>
      </c>
      <c r="F273" s="2">
        <v>928.0</v>
      </c>
      <c r="G273" s="2">
        <v>1070.49</v>
      </c>
      <c r="H273" s="2">
        <v>993417.0</v>
      </c>
      <c r="I273" s="2">
        <v>785.0</v>
      </c>
    </row>
    <row r="274" ht="15.75" customHeight="1">
      <c r="A274" s="2">
        <v>6.0</v>
      </c>
      <c r="B274" s="2" t="s">
        <v>33</v>
      </c>
      <c r="C274" s="2" t="s">
        <v>34</v>
      </c>
      <c r="D274" s="2" t="s">
        <v>23</v>
      </c>
      <c r="E274" s="2" t="s">
        <v>12</v>
      </c>
      <c r="F274" s="2">
        <v>778.0</v>
      </c>
      <c r="G274" s="2">
        <v>5394.34</v>
      </c>
      <c r="H274" s="2">
        <v>4196795.0</v>
      </c>
      <c r="I274" s="2">
        <v>576.0</v>
      </c>
    </row>
    <row r="275" ht="15.75" customHeight="1">
      <c r="A275" s="2">
        <v>6.0</v>
      </c>
      <c r="B275" s="2" t="s">
        <v>33</v>
      </c>
      <c r="C275" s="2" t="s">
        <v>34</v>
      </c>
      <c r="D275" s="2" t="s">
        <v>23</v>
      </c>
      <c r="E275" s="2" t="s">
        <v>13</v>
      </c>
      <c r="F275" s="2">
        <v>187.0</v>
      </c>
      <c r="G275" s="2">
        <v>20276.19</v>
      </c>
      <c r="H275" s="2">
        <v>3791647.0</v>
      </c>
      <c r="I275" s="2">
        <v>145.0</v>
      </c>
    </row>
    <row r="276" ht="15.75" customHeight="1">
      <c r="A276" s="2">
        <v>6.0</v>
      </c>
      <c r="B276" s="2" t="s">
        <v>33</v>
      </c>
      <c r="C276" s="2" t="s">
        <v>34</v>
      </c>
      <c r="D276" s="2" t="s">
        <v>23</v>
      </c>
      <c r="E276" s="2" t="s">
        <v>14</v>
      </c>
      <c r="F276" s="2">
        <v>484.0</v>
      </c>
      <c r="G276" s="2">
        <v>7254.69</v>
      </c>
      <c r="H276" s="2">
        <v>3511268.0</v>
      </c>
      <c r="I276" s="2">
        <v>340.0</v>
      </c>
    </row>
    <row r="277" ht="15.75" customHeight="1">
      <c r="A277" s="2">
        <v>6.0</v>
      </c>
      <c r="B277" s="2" t="s">
        <v>33</v>
      </c>
      <c r="C277" s="2" t="s">
        <v>34</v>
      </c>
      <c r="D277" s="2" t="s">
        <v>23</v>
      </c>
      <c r="E277" s="2" t="s">
        <v>15</v>
      </c>
      <c r="F277" s="2">
        <v>868.0</v>
      </c>
      <c r="G277" s="2">
        <v>1312.66</v>
      </c>
      <c r="H277" s="2">
        <v>1139386.0</v>
      </c>
      <c r="I277" s="2">
        <v>719.0</v>
      </c>
    </row>
    <row r="278" ht="15.75" customHeight="1">
      <c r="A278" s="2">
        <v>6.0</v>
      </c>
      <c r="B278" s="2" t="s">
        <v>33</v>
      </c>
      <c r="C278" s="2" t="s">
        <v>34</v>
      </c>
      <c r="D278" s="2" t="s">
        <v>24</v>
      </c>
      <c r="E278" s="2" t="s">
        <v>12</v>
      </c>
      <c r="F278" s="2">
        <v>683.0</v>
      </c>
      <c r="G278" s="2">
        <v>5755.33</v>
      </c>
      <c r="H278" s="2">
        <v>3930891.0</v>
      </c>
      <c r="I278" s="2">
        <v>625.0</v>
      </c>
    </row>
    <row r="279" ht="15.75" customHeight="1">
      <c r="A279" s="2">
        <v>6.0</v>
      </c>
      <c r="B279" s="2" t="s">
        <v>33</v>
      </c>
      <c r="C279" s="2" t="s">
        <v>34</v>
      </c>
      <c r="D279" s="2" t="s">
        <v>24</v>
      </c>
      <c r="E279" s="2" t="s">
        <v>13</v>
      </c>
      <c r="F279" s="2">
        <v>162.0</v>
      </c>
      <c r="G279" s="2">
        <v>20196.56</v>
      </c>
      <c r="H279" s="2">
        <v>3271842.0</v>
      </c>
      <c r="I279" s="2">
        <v>153.0</v>
      </c>
    </row>
    <row r="280" ht="15.75" customHeight="1">
      <c r="A280" s="2">
        <v>6.0</v>
      </c>
      <c r="B280" s="2" t="s">
        <v>33</v>
      </c>
      <c r="C280" s="2" t="s">
        <v>34</v>
      </c>
      <c r="D280" s="2" t="s">
        <v>24</v>
      </c>
      <c r="E280" s="2" t="s">
        <v>14</v>
      </c>
      <c r="F280" s="2">
        <v>248.0</v>
      </c>
      <c r="G280" s="2">
        <v>6381.92</v>
      </c>
      <c r="H280" s="2">
        <v>1582717.0</v>
      </c>
      <c r="I280" s="2">
        <v>198.0</v>
      </c>
    </row>
    <row r="281" ht="15.75" customHeight="1">
      <c r="A281" s="2">
        <v>6.0</v>
      </c>
      <c r="B281" s="2" t="s">
        <v>33</v>
      </c>
      <c r="C281" s="2" t="s">
        <v>34</v>
      </c>
      <c r="D281" s="2" t="s">
        <v>24</v>
      </c>
      <c r="E281" s="2" t="s">
        <v>15</v>
      </c>
      <c r="F281" s="2">
        <v>834.0</v>
      </c>
      <c r="G281" s="2">
        <v>1088.21</v>
      </c>
      <c r="H281" s="2">
        <v>907563.0</v>
      </c>
      <c r="I281" s="2">
        <v>627.0</v>
      </c>
    </row>
    <row r="282" ht="15.75" customHeight="1">
      <c r="A282" s="2">
        <v>6.0</v>
      </c>
      <c r="B282" s="2" t="s">
        <v>33</v>
      </c>
      <c r="C282" s="2" t="s">
        <v>34</v>
      </c>
      <c r="D282" s="2" t="s">
        <v>25</v>
      </c>
      <c r="E282" s="2" t="s">
        <v>12</v>
      </c>
      <c r="F282" s="2">
        <v>917.0</v>
      </c>
      <c r="G282" s="2">
        <v>5185.27</v>
      </c>
      <c r="H282" s="2">
        <v>4754890.0</v>
      </c>
      <c r="I282" s="2">
        <v>650.0</v>
      </c>
    </row>
    <row r="283" ht="15.75" customHeight="1">
      <c r="A283" s="2">
        <v>6.0</v>
      </c>
      <c r="B283" s="2" t="s">
        <v>33</v>
      </c>
      <c r="C283" s="2" t="s">
        <v>34</v>
      </c>
      <c r="D283" s="2" t="s">
        <v>25</v>
      </c>
      <c r="E283" s="2" t="s">
        <v>13</v>
      </c>
      <c r="F283" s="2">
        <v>129.0</v>
      </c>
      <c r="G283" s="2">
        <v>21062.51</v>
      </c>
      <c r="H283" s="2">
        <v>2717064.0</v>
      </c>
      <c r="I283" s="2">
        <v>117.0</v>
      </c>
    </row>
    <row r="284" ht="15.75" customHeight="1">
      <c r="A284" s="2">
        <v>6.0</v>
      </c>
      <c r="B284" s="2" t="s">
        <v>33</v>
      </c>
      <c r="C284" s="2" t="s">
        <v>34</v>
      </c>
      <c r="D284" s="2" t="s">
        <v>25</v>
      </c>
      <c r="E284" s="2" t="s">
        <v>14</v>
      </c>
      <c r="F284" s="2">
        <v>218.0</v>
      </c>
      <c r="G284" s="2">
        <v>7116.57</v>
      </c>
      <c r="H284" s="2">
        <v>1551413.0</v>
      </c>
      <c r="I284" s="2">
        <v>176.0</v>
      </c>
    </row>
    <row r="285" ht="15.75" customHeight="1">
      <c r="A285" s="2">
        <v>6.0</v>
      </c>
      <c r="B285" s="2" t="s">
        <v>33</v>
      </c>
      <c r="C285" s="2" t="s">
        <v>34</v>
      </c>
      <c r="D285" s="2" t="s">
        <v>25</v>
      </c>
      <c r="E285" s="2" t="s">
        <v>15</v>
      </c>
      <c r="F285" s="2">
        <v>513.0</v>
      </c>
      <c r="G285" s="2">
        <v>934.06</v>
      </c>
      <c r="H285" s="2">
        <v>479175.0</v>
      </c>
      <c r="I285" s="2">
        <v>422.0</v>
      </c>
    </row>
    <row r="286" ht="15.75" customHeight="1">
      <c r="A286" s="2">
        <v>6.0</v>
      </c>
      <c r="B286" s="2" t="s">
        <v>33</v>
      </c>
      <c r="C286" s="2" t="s">
        <v>34</v>
      </c>
      <c r="D286" s="2" t="s">
        <v>26</v>
      </c>
      <c r="E286" s="2" t="s">
        <v>12</v>
      </c>
      <c r="F286" s="2">
        <v>863.0</v>
      </c>
      <c r="G286" s="2">
        <v>5018.5</v>
      </c>
      <c r="H286" s="2">
        <v>4330963.0</v>
      </c>
      <c r="I286" s="2">
        <v>743.0</v>
      </c>
    </row>
    <row r="287" ht="15.75" customHeight="1">
      <c r="A287" s="2">
        <v>6.0</v>
      </c>
      <c r="B287" s="2" t="s">
        <v>33</v>
      </c>
      <c r="C287" s="2" t="s">
        <v>34</v>
      </c>
      <c r="D287" s="2" t="s">
        <v>26</v>
      </c>
      <c r="E287" s="2" t="s">
        <v>13</v>
      </c>
      <c r="F287" s="2">
        <v>223.0</v>
      </c>
      <c r="G287" s="2">
        <v>20877.75</v>
      </c>
      <c r="H287" s="2">
        <v>4655738.0</v>
      </c>
      <c r="I287" s="2">
        <v>200.0</v>
      </c>
    </row>
    <row r="288" ht="15.75" customHeight="1">
      <c r="A288" s="2">
        <v>6.0</v>
      </c>
      <c r="B288" s="2" t="s">
        <v>33</v>
      </c>
      <c r="C288" s="2" t="s">
        <v>34</v>
      </c>
      <c r="D288" s="2" t="s">
        <v>26</v>
      </c>
      <c r="E288" s="2" t="s">
        <v>14</v>
      </c>
      <c r="F288" s="2">
        <v>254.0</v>
      </c>
      <c r="G288" s="2">
        <v>6845.59</v>
      </c>
      <c r="H288" s="2">
        <v>1738781.0</v>
      </c>
      <c r="I288" s="2">
        <v>219.0</v>
      </c>
    </row>
    <row r="289" ht="15.75" customHeight="1">
      <c r="A289" s="2">
        <v>6.0</v>
      </c>
      <c r="B289" s="2" t="s">
        <v>33</v>
      </c>
      <c r="C289" s="2" t="s">
        <v>34</v>
      </c>
      <c r="D289" s="2" t="s">
        <v>26</v>
      </c>
      <c r="E289" s="2" t="s">
        <v>15</v>
      </c>
      <c r="F289" s="2">
        <v>712.0</v>
      </c>
      <c r="G289" s="2">
        <v>1122.73</v>
      </c>
      <c r="H289" s="2">
        <v>799386.0</v>
      </c>
      <c r="I289" s="2">
        <v>537.0</v>
      </c>
    </row>
    <row r="290" ht="15.75" customHeight="1">
      <c r="A290" s="2">
        <v>7.0</v>
      </c>
      <c r="B290" s="2" t="s">
        <v>35</v>
      </c>
      <c r="C290" s="2" t="s">
        <v>30</v>
      </c>
      <c r="D290" s="2" t="s">
        <v>11</v>
      </c>
      <c r="E290" s="2" t="s">
        <v>12</v>
      </c>
      <c r="F290" s="2">
        <v>1042.0</v>
      </c>
      <c r="G290" s="2">
        <v>5814.27</v>
      </c>
      <c r="H290" s="2">
        <v>6058474.0</v>
      </c>
      <c r="I290" s="2">
        <v>817.0</v>
      </c>
    </row>
    <row r="291" ht="15.75" customHeight="1">
      <c r="A291" s="2">
        <v>7.0</v>
      </c>
      <c r="B291" s="2" t="s">
        <v>35</v>
      </c>
      <c r="C291" s="2" t="s">
        <v>30</v>
      </c>
      <c r="D291" s="2" t="s">
        <v>11</v>
      </c>
      <c r="E291" s="2" t="s">
        <v>13</v>
      </c>
      <c r="F291" s="2">
        <v>166.0</v>
      </c>
      <c r="G291" s="2">
        <v>21619.2</v>
      </c>
      <c r="H291" s="2">
        <v>3588788.0</v>
      </c>
      <c r="I291" s="2">
        <v>153.0</v>
      </c>
    </row>
    <row r="292" ht="15.75" customHeight="1">
      <c r="A292" s="2">
        <v>7.0</v>
      </c>
      <c r="B292" s="2" t="s">
        <v>35</v>
      </c>
      <c r="C292" s="2" t="s">
        <v>30</v>
      </c>
      <c r="D292" s="2" t="s">
        <v>11</v>
      </c>
      <c r="E292" s="2" t="s">
        <v>14</v>
      </c>
      <c r="F292" s="2">
        <v>291.0</v>
      </c>
      <c r="G292" s="2">
        <v>6594.8</v>
      </c>
      <c r="H292" s="2">
        <v>1919086.0</v>
      </c>
      <c r="I292" s="2">
        <v>221.0</v>
      </c>
    </row>
    <row r="293" ht="15.75" customHeight="1">
      <c r="A293" s="2">
        <v>7.0</v>
      </c>
      <c r="B293" s="2" t="s">
        <v>35</v>
      </c>
      <c r="C293" s="2" t="s">
        <v>30</v>
      </c>
      <c r="D293" s="2" t="s">
        <v>11</v>
      </c>
      <c r="E293" s="2" t="s">
        <v>15</v>
      </c>
      <c r="F293" s="2">
        <v>477.0</v>
      </c>
      <c r="G293" s="2">
        <v>1177.08</v>
      </c>
      <c r="H293" s="2">
        <v>561466.0</v>
      </c>
      <c r="I293" s="2">
        <v>405.0</v>
      </c>
    </row>
    <row r="294" ht="15.75" customHeight="1">
      <c r="A294" s="2">
        <v>7.0</v>
      </c>
      <c r="B294" s="2" t="s">
        <v>35</v>
      </c>
      <c r="C294" s="2" t="s">
        <v>30</v>
      </c>
      <c r="D294" s="2" t="s">
        <v>16</v>
      </c>
      <c r="E294" s="2" t="s">
        <v>12</v>
      </c>
      <c r="F294" s="2">
        <v>1090.0</v>
      </c>
      <c r="G294" s="2">
        <v>5244.84</v>
      </c>
      <c r="H294" s="2">
        <v>5716874.0</v>
      </c>
      <c r="I294" s="2">
        <v>851.0</v>
      </c>
    </row>
    <row r="295" ht="15.75" customHeight="1">
      <c r="A295" s="2">
        <v>7.0</v>
      </c>
      <c r="B295" s="2" t="s">
        <v>35</v>
      </c>
      <c r="C295" s="2" t="s">
        <v>30</v>
      </c>
      <c r="D295" s="2" t="s">
        <v>16</v>
      </c>
      <c r="E295" s="2" t="s">
        <v>13</v>
      </c>
      <c r="F295" s="2">
        <v>106.0</v>
      </c>
      <c r="G295" s="2">
        <v>20653.97</v>
      </c>
      <c r="H295" s="2">
        <v>2189321.0</v>
      </c>
      <c r="I295" s="2">
        <v>90.0</v>
      </c>
    </row>
    <row r="296" ht="15.75" customHeight="1">
      <c r="A296" s="2">
        <v>7.0</v>
      </c>
      <c r="B296" s="2" t="s">
        <v>35</v>
      </c>
      <c r="C296" s="2" t="s">
        <v>30</v>
      </c>
      <c r="D296" s="2" t="s">
        <v>16</v>
      </c>
      <c r="E296" s="2" t="s">
        <v>14</v>
      </c>
      <c r="F296" s="2">
        <v>360.0</v>
      </c>
      <c r="G296" s="2">
        <v>6797.84</v>
      </c>
      <c r="H296" s="2">
        <v>2447222.0</v>
      </c>
      <c r="I296" s="2">
        <v>289.0</v>
      </c>
    </row>
    <row r="297" ht="15.75" customHeight="1">
      <c r="A297" s="2">
        <v>7.0</v>
      </c>
      <c r="B297" s="2" t="s">
        <v>35</v>
      </c>
      <c r="C297" s="2" t="s">
        <v>30</v>
      </c>
      <c r="D297" s="2" t="s">
        <v>16</v>
      </c>
      <c r="E297" s="2" t="s">
        <v>15</v>
      </c>
      <c r="F297" s="2">
        <v>913.0</v>
      </c>
      <c r="G297" s="2">
        <v>1074.89</v>
      </c>
      <c r="H297" s="2">
        <v>981373.0</v>
      </c>
      <c r="I297" s="2">
        <v>846.0</v>
      </c>
    </row>
    <row r="298" ht="15.75" customHeight="1">
      <c r="A298" s="2">
        <v>7.0</v>
      </c>
      <c r="B298" s="2" t="s">
        <v>35</v>
      </c>
      <c r="C298" s="2" t="s">
        <v>30</v>
      </c>
      <c r="D298" s="2" t="s">
        <v>17</v>
      </c>
      <c r="E298" s="2" t="s">
        <v>12</v>
      </c>
      <c r="F298" s="2">
        <v>1122.0</v>
      </c>
      <c r="G298" s="2">
        <v>5159.13</v>
      </c>
      <c r="H298" s="2">
        <v>5788545.0</v>
      </c>
      <c r="I298" s="2">
        <v>950.0</v>
      </c>
    </row>
    <row r="299" ht="15.75" customHeight="1">
      <c r="A299" s="2">
        <v>7.0</v>
      </c>
      <c r="B299" s="2" t="s">
        <v>35</v>
      </c>
      <c r="C299" s="2" t="s">
        <v>30</v>
      </c>
      <c r="D299" s="2" t="s">
        <v>17</v>
      </c>
      <c r="E299" s="2" t="s">
        <v>13</v>
      </c>
      <c r="F299" s="2">
        <v>239.0</v>
      </c>
      <c r="G299" s="2">
        <v>20373.23</v>
      </c>
      <c r="H299" s="2">
        <v>4869202.0</v>
      </c>
      <c r="I299" s="2">
        <v>216.0</v>
      </c>
    </row>
    <row r="300" ht="15.75" customHeight="1">
      <c r="A300" s="2">
        <v>7.0</v>
      </c>
      <c r="B300" s="2" t="s">
        <v>35</v>
      </c>
      <c r="C300" s="2" t="s">
        <v>30</v>
      </c>
      <c r="D300" s="2" t="s">
        <v>17</v>
      </c>
      <c r="E300" s="2" t="s">
        <v>14</v>
      </c>
      <c r="F300" s="2">
        <v>492.0</v>
      </c>
      <c r="G300" s="2">
        <v>7074.01</v>
      </c>
      <c r="H300" s="2">
        <v>3480412.0</v>
      </c>
      <c r="I300" s="2">
        <v>398.0</v>
      </c>
    </row>
    <row r="301" ht="15.75" customHeight="1">
      <c r="A301" s="2">
        <v>7.0</v>
      </c>
      <c r="B301" s="2" t="s">
        <v>35</v>
      </c>
      <c r="C301" s="2" t="s">
        <v>30</v>
      </c>
      <c r="D301" s="2" t="s">
        <v>17</v>
      </c>
      <c r="E301" s="2" t="s">
        <v>15</v>
      </c>
      <c r="F301" s="2">
        <v>899.0</v>
      </c>
      <c r="G301" s="2">
        <v>983.01</v>
      </c>
      <c r="H301" s="2">
        <v>883728.0</v>
      </c>
      <c r="I301" s="2">
        <v>848.0</v>
      </c>
    </row>
    <row r="302" ht="15.75" customHeight="1">
      <c r="A302" s="2">
        <v>7.0</v>
      </c>
      <c r="B302" s="2" t="s">
        <v>35</v>
      </c>
      <c r="C302" s="2" t="s">
        <v>30</v>
      </c>
      <c r="D302" s="2" t="s">
        <v>18</v>
      </c>
      <c r="E302" s="2" t="s">
        <v>12</v>
      </c>
      <c r="F302" s="2">
        <v>963.0</v>
      </c>
      <c r="G302" s="2">
        <v>5494.36</v>
      </c>
      <c r="H302" s="2">
        <v>5291073.0</v>
      </c>
      <c r="I302" s="2">
        <v>866.0</v>
      </c>
    </row>
    <row r="303" ht="15.75" customHeight="1">
      <c r="A303" s="2">
        <v>7.0</v>
      </c>
      <c r="B303" s="2" t="s">
        <v>35</v>
      </c>
      <c r="C303" s="2" t="s">
        <v>30</v>
      </c>
      <c r="D303" s="2" t="s">
        <v>18</v>
      </c>
      <c r="E303" s="2" t="s">
        <v>13</v>
      </c>
      <c r="F303" s="2">
        <v>213.0</v>
      </c>
      <c r="G303" s="2">
        <v>21475.23</v>
      </c>
      <c r="H303" s="2">
        <v>4574225.0</v>
      </c>
      <c r="I303" s="2">
        <v>150.0</v>
      </c>
    </row>
    <row r="304" ht="15.75" customHeight="1">
      <c r="A304" s="2">
        <v>7.0</v>
      </c>
      <c r="B304" s="2" t="s">
        <v>35</v>
      </c>
      <c r="C304" s="2" t="s">
        <v>30</v>
      </c>
      <c r="D304" s="2" t="s">
        <v>18</v>
      </c>
      <c r="E304" s="2" t="s">
        <v>14</v>
      </c>
      <c r="F304" s="2">
        <v>213.0</v>
      </c>
      <c r="G304" s="2">
        <v>6960.92</v>
      </c>
      <c r="H304" s="2">
        <v>1482676.0</v>
      </c>
      <c r="I304" s="2">
        <v>170.0</v>
      </c>
    </row>
    <row r="305" ht="15.75" customHeight="1">
      <c r="A305" s="2">
        <v>7.0</v>
      </c>
      <c r="B305" s="2" t="s">
        <v>35</v>
      </c>
      <c r="C305" s="2" t="s">
        <v>30</v>
      </c>
      <c r="D305" s="2" t="s">
        <v>18</v>
      </c>
      <c r="E305" s="2" t="s">
        <v>15</v>
      </c>
      <c r="F305" s="2">
        <v>600.0</v>
      </c>
      <c r="G305" s="2">
        <v>1305.71</v>
      </c>
      <c r="H305" s="2">
        <v>783427.0</v>
      </c>
      <c r="I305" s="2">
        <v>440.0</v>
      </c>
    </row>
    <row r="306" ht="15.75" customHeight="1">
      <c r="A306" s="2">
        <v>7.0</v>
      </c>
      <c r="B306" s="2" t="s">
        <v>35</v>
      </c>
      <c r="C306" s="2" t="s">
        <v>30</v>
      </c>
      <c r="D306" s="2" t="s">
        <v>19</v>
      </c>
      <c r="E306" s="2" t="s">
        <v>12</v>
      </c>
      <c r="F306" s="2">
        <v>834.0</v>
      </c>
      <c r="G306" s="2">
        <v>5091.1</v>
      </c>
      <c r="H306" s="2">
        <v>4245978.0</v>
      </c>
      <c r="I306" s="2">
        <v>771.0</v>
      </c>
    </row>
    <row r="307" ht="15.75" customHeight="1">
      <c r="A307" s="2">
        <v>7.0</v>
      </c>
      <c r="B307" s="2" t="s">
        <v>35</v>
      </c>
      <c r="C307" s="2" t="s">
        <v>30</v>
      </c>
      <c r="D307" s="2" t="s">
        <v>19</v>
      </c>
      <c r="E307" s="2" t="s">
        <v>13</v>
      </c>
      <c r="F307" s="2">
        <v>197.0</v>
      </c>
      <c r="G307" s="2">
        <v>21322.08</v>
      </c>
      <c r="H307" s="2">
        <v>4200451.0</v>
      </c>
      <c r="I307" s="2">
        <v>151.0</v>
      </c>
    </row>
    <row r="308" ht="15.75" customHeight="1">
      <c r="A308" s="2">
        <v>7.0</v>
      </c>
      <c r="B308" s="2" t="s">
        <v>35</v>
      </c>
      <c r="C308" s="2" t="s">
        <v>30</v>
      </c>
      <c r="D308" s="2" t="s">
        <v>19</v>
      </c>
      <c r="E308" s="2" t="s">
        <v>14</v>
      </c>
      <c r="F308" s="2">
        <v>274.0</v>
      </c>
      <c r="G308" s="2">
        <v>6736.19</v>
      </c>
      <c r="H308" s="2">
        <v>1845717.0</v>
      </c>
      <c r="I308" s="2">
        <v>247.0</v>
      </c>
    </row>
    <row r="309" ht="15.75" customHeight="1">
      <c r="A309" s="2">
        <v>7.0</v>
      </c>
      <c r="B309" s="2" t="s">
        <v>35</v>
      </c>
      <c r="C309" s="2" t="s">
        <v>30</v>
      </c>
      <c r="D309" s="2" t="s">
        <v>19</v>
      </c>
      <c r="E309" s="2" t="s">
        <v>15</v>
      </c>
      <c r="F309" s="2">
        <v>440.0</v>
      </c>
      <c r="G309" s="2">
        <v>1331.21</v>
      </c>
      <c r="H309" s="2">
        <v>585732.0</v>
      </c>
      <c r="I309" s="2">
        <v>338.0</v>
      </c>
    </row>
    <row r="310" ht="15.75" customHeight="1">
      <c r="A310" s="2">
        <v>7.0</v>
      </c>
      <c r="B310" s="2" t="s">
        <v>35</v>
      </c>
      <c r="C310" s="2" t="s">
        <v>30</v>
      </c>
      <c r="D310" s="2" t="s">
        <v>20</v>
      </c>
      <c r="E310" s="2" t="s">
        <v>12</v>
      </c>
      <c r="F310" s="2">
        <v>616.0</v>
      </c>
      <c r="G310" s="2">
        <v>5286.2</v>
      </c>
      <c r="H310" s="2">
        <v>3256302.0</v>
      </c>
      <c r="I310" s="2">
        <v>542.0</v>
      </c>
    </row>
    <row r="311" ht="15.75" customHeight="1">
      <c r="A311" s="2">
        <v>7.0</v>
      </c>
      <c r="B311" s="2" t="s">
        <v>35</v>
      </c>
      <c r="C311" s="2" t="s">
        <v>30</v>
      </c>
      <c r="D311" s="2" t="s">
        <v>20</v>
      </c>
      <c r="E311" s="2" t="s">
        <v>13</v>
      </c>
      <c r="F311" s="2">
        <v>216.0</v>
      </c>
      <c r="G311" s="2">
        <v>19437.43</v>
      </c>
      <c r="H311" s="2">
        <v>4198484.0</v>
      </c>
      <c r="I311" s="2">
        <v>151.0</v>
      </c>
    </row>
    <row r="312" ht="15.75" customHeight="1">
      <c r="A312" s="2">
        <v>7.0</v>
      </c>
      <c r="B312" s="2" t="s">
        <v>35</v>
      </c>
      <c r="C312" s="2" t="s">
        <v>30</v>
      </c>
      <c r="D312" s="2" t="s">
        <v>20</v>
      </c>
      <c r="E312" s="2" t="s">
        <v>14</v>
      </c>
      <c r="F312" s="2">
        <v>226.0</v>
      </c>
      <c r="G312" s="2">
        <v>7186.16</v>
      </c>
      <c r="H312" s="2">
        <v>1624072.0</v>
      </c>
      <c r="I312" s="2">
        <v>195.0</v>
      </c>
    </row>
    <row r="313" ht="15.75" customHeight="1">
      <c r="A313" s="2">
        <v>7.0</v>
      </c>
      <c r="B313" s="2" t="s">
        <v>35</v>
      </c>
      <c r="C313" s="2" t="s">
        <v>30</v>
      </c>
      <c r="D313" s="2" t="s">
        <v>20</v>
      </c>
      <c r="E313" s="2" t="s">
        <v>15</v>
      </c>
      <c r="F313" s="2">
        <v>854.0</v>
      </c>
      <c r="G313" s="2">
        <v>1357.05</v>
      </c>
      <c r="H313" s="2">
        <v>1158920.0</v>
      </c>
      <c r="I313" s="2">
        <v>720.0</v>
      </c>
    </row>
    <row r="314" ht="15.75" customHeight="1">
      <c r="A314" s="2">
        <v>7.0</v>
      </c>
      <c r="B314" s="2" t="s">
        <v>35</v>
      </c>
      <c r="C314" s="2" t="s">
        <v>30</v>
      </c>
      <c r="D314" s="2" t="s">
        <v>21</v>
      </c>
      <c r="E314" s="2" t="s">
        <v>12</v>
      </c>
      <c r="F314" s="2">
        <v>1000.0</v>
      </c>
      <c r="G314" s="2">
        <v>4931.83</v>
      </c>
      <c r="H314" s="2">
        <v>4931825.0</v>
      </c>
      <c r="I314" s="2">
        <v>829.0</v>
      </c>
    </row>
    <row r="315" ht="15.75" customHeight="1">
      <c r="A315" s="2">
        <v>7.0</v>
      </c>
      <c r="B315" s="2" t="s">
        <v>35</v>
      </c>
      <c r="C315" s="2" t="s">
        <v>30</v>
      </c>
      <c r="D315" s="2" t="s">
        <v>21</v>
      </c>
      <c r="E315" s="2" t="s">
        <v>13</v>
      </c>
      <c r="F315" s="2">
        <v>163.0</v>
      </c>
      <c r="G315" s="2">
        <v>20476.34</v>
      </c>
      <c r="H315" s="2">
        <v>3337643.0</v>
      </c>
      <c r="I315" s="2">
        <v>128.0</v>
      </c>
    </row>
    <row r="316" ht="15.75" customHeight="1">
      <c r="A316" s="2">
        <v>7.0</v>
      </c>
      <c r="B316" s="2" t="s">
        <v>35</v>
      </c>
      <c r="C316" s="2" t="s">
        <v>30</v>
      </c>
      <c r="D316" s="2" t="s">
        <v>21</v>
      </c>
      <c r="E316" s="2" t="s">
        <v>14</v>
      </c>
      <c r="F316" s="2">
        <v>392.0</v>
      </c>
      <c r="G316" s="2">
        <v>6756.03</v>
      </c>
      <c r="H316" s="2">
        <v>2648364.0</v>
      </c>
      <c r="I316" s="2">
        <v>298.0</v>
      </c>
    </row>
    <row r="317" ht="15.75" customHeight="1">
      <c r="A317" s="2">
        <v>7.0</v>
      </c>
      <c r="B317" s="2" t="s">
        <v>35</v>
      </c>
      <c r="C317" s="2" t="s">
        <v>30</v>
      </c>
      <c r="D317" s="2" t="s">
        <v>21</v>
      </c>
      <c r="E317" s="2" t="s">
        <v>15</v>
      </c>
      <c r="F317" s="2">
        <v>548.0</v>
      </c>
      <c r="G317" s="2">
        <v>1124.46</v>
      </c>
      <c r="H317" s="2">
        <v>616205.0</v>
      </c>
      <c r="I317" s="2">
        <v>498.0</v>
      </c>
    </row>
    <row r="318" ht="15.75" customHeight="1">
      <c r="A318" s="2">
        <v>7.0</v>
      </c>
      <c r="B318" s="2" t="s">
        <v>35</v>
      </c>
      <c r="C318" s="2" t="s">
        <v>30</v>
      </c>
      <c r="D318" s="2" t="s">
        <v>22</v>
      </c>
      <c r="E318" s="2" t="s">
        <v>12</v>
      </c>
      <c r="F318" s="2">
        <v>610.0</v>
      </c>
      <c r="G318" s="2">
        <v>5568.26</v>
      </c>
      <c r="H318" s="2">
        <v>3396640.0</v>
      </c>
      <c r="I318" s="2">
        <v>472.0</v>
      </c>
    </row>
    <row r="319" ht="15.75" customHeight="1">
      <c r="A319" s="2">
        <v>7.0</v>
      </c>
      <c r="B319" s="2" t="s">
        <v>35</v>
      </c>
      <c r="C319" s="2" t="s">
        <v>30</v>
      </c>
      <c r="D319" s="2" t="s">
        <v>22</v>
      </c>
      <c r="E319" s="2" t="s">
        <v>13</v>
      </c>
      <c r="F319" s="2">
        <v>153.0</v>
      </c>
      <c r="G319" s="2">
        <v>20792.98</v>
      </c>
      <c r="H319" s="2">
        <v>3181326.0</v>
      </c>
      <c r="I319" s="2">
        <v>125.0</v>
      </c>
    </row>
    <row r="320" ht="15.75" customHeight="1">
      <c r="A320" s="2">
        <v>7.0</v>
      </c>
      <c r="B320" s="2" t="s">
        <v>35</v>
      </c>
      <c r="C320" s="2" t="s">
        <v>30</v>
      </c>
      <c r="D320" s="2" t="s">
        <v>22</v>
      </c>
      <c r="E320" s="2" t="s">
        <v>14</v>
      </c>
      <c r="F320" s="2">
        <v>310.0</v>
      </c>
      <c r="G320" s="2">
        <v>6173.56</v>
      </c>
      <c r="H320" s="2">
        <v>1913805.0</v>
      </c>
      <c r="I320" s="2">
        <v>258.0</v>
      </c>
    </row>
    <row r="321" ht="15.75" customHeight="1">
      <c r="A321" s="2">
        <v>7.0</v>
      </c>
      <c r="B321" s="2" t="s">
        <v>35</v>
      </c>
      <c r="C321" s="2" t="s">
        <v>30</v>
      </c>
      <c r="D321" s="2" t="s">
        <v>22</v>
      </c>
      <c r="E321" s="2" t="s">
        <v>15</v>
      </c>
      <c r="F321" s="2">
        <v>866.0</v>
      </c>
      <c r="G321" s="2">
        <v>1187.61</v>
      </c>
      <c r="H321" s="2">
        <v>1028471.0</v>
      </c>
      <c r="I321" s="2">
        <v>735.0</v>
      </c>
    </row>
    <row r="322" ht="15.75" customHeight="1">
      <c r="A322" s="2">
        <v>7.0</v>
      </c>
      <c r="B322" s="2" t="s">
        <v>35</v>
      </c>
      <c r="C322" s="2" t="s">
        <v>30</v>
      </c>
      <c r="D322" s="2" t="s">
        <v>23</v>
      </c>
      <c r="E322" s="2" t="s">
        <v>12</v>
      </c>
      <c r="F322" s="2">
        <v>1090.0</v>
      </c>
      <c r="G322" s="2">
        <v>5374.92</v>
      </c>
      <c r="H322" s="2">
        <v>5858660.0</v>
      </c>
      <c r="I322" s="2">
        <v>892.0</v>
      </c>
    </row>
    <row r="323" ht="15.75" customHeight="1">
      <c r="A323" s="2">
        <v>7.0</v>
      </c>
      <c r="B323" s="2" t="s">
        <v>35</v>
      </c>
      <c r="C323" s="2" t="s">
        <v>30</v>
      </c>
      <c r="D323" s="2" t="s">
        <v>23</v>
      </c>
      <c r="E323" s="2" t="s">
        <v>13</v>
      </c>
      <c r="F323" s="2">
        <v>172.0</v>
      </c>
      <c r="G323" s="2">
        <v>20660.94</v>
      </c>
      <c r="H323" s="2">
        <v>3553681.0</v>
      </c>
      <c r="I323" s="2">
        <v>123.0</v>
      </c>
    </row>
    <row r="324" ht="15.75" customHeight="1">
      <c r="A324" s="2">
        <v>7.0</v>
      </c>
      <c r="B324" s="2" t="s">
        <v>35</v>
      </c>
      <c r="C324" s="2" t="s">
        <v>30</v>
      </c>
      <c r="D324" s="2" t="s">
        <v>23</v>
      </c>
      <c r="E324" s="2" t="s">
        <v>14</v>
      </c>
      <c r="F324" s="2">
        <v>216.0</v>
      </c>
      <c r="G324" s="2">
        <v>7196.49</v>
      </c>
      <c r="H324" s="2">
        <v>1554443.0</v>
      </c>
      <c r="I324" s="2">
        <v>183.0</v>
      </c>
    </row>
    <row r="325" ht="15.75" customHeight="1">
      <c r="A325" s="2">
        <v>7.0</v>
      </c>
      <c r="B325" s="2" t="s">
        <v>35</v>
      </c>
      <c r="C325" s="2" t="s">
        <v>30</v>
      </c>
      <c r="D325" s="2" t="s">
        <v>23</v>
      </c>
      <c r="E325" s="2" t="s">
        <v>15</v>
      </c>
      <c r="F325" s="2">
        <v>424.0</v>
      </c>
      <c r="G325" s="2">
        <v>1129.57</v>
      </c>
      <c r="H325" s="2">
        <v>478939.0</v>
      </c>
      <c r="I325" s="2">
        <v>322.0</v>
      </c>
    </row>
    <row r="326" ht="15.75" customHeight="1">
      <c r="A326" s="2">
        <v>7.0</v>
      </c>
      <c r="B326" s="2" t="s">
        <v>35</v>
      </c>
      <c r="C326" s="2" t="s">
        <v>30</v>
      </c>
      <c r="D326" s="2" t="s">
        <v>24</v>
      </c>
      <c r="E326" s="2" t="s">
        <v>12</v>
      </c>
      <c r="F326" s="2">
        <v>730.0</v>
      </c>
      <c r="G326" s="2">
        <v>5238.44</v>
      </c>
      <c r="H326" s="2">
        <v>3824063.0</v>
      </c>
      <c r="I326" s="2">
        <v>658.0</v>
      </c>
    </row>
    <row r="327" ht="15.75" customHeight="1">
      <c r="A327" s="2">
        <v>7.0</v>
      </c>
      <c r="B327" s="2" t="s">
        <v>35</v>
      </c>
      <c r="C327" s="2" t="s">
        <v>30</v>
      </c>
      <c r="D327" s="2" t="s">
        <v>24</v>
      </c>
      <c r="E327" s="2" t="s">
        <v>13</v>
      </c>
      <c r="F327" s="2">
        <v>148.0</v>
      </c>
      <c r="G327" s="2">
        <v>20972.88</v>
      </c>
      <c r="H327" s="2">
        <v>3103986.0</v>
      </c>
      <c r="I327" s="2">
        <v>108.0</v>
      </c>
    </row>
    <row r="328" ht="15.75" customHeight="1">
      <c r="A328" s="2">
        <v>7.0</v>
      </c>
      <c r="B328" s="2" t="s">
        <v>35</v>
      </c>
      <c r="C328" s="2" t="s">
        <v>30</v>
      </c>
      <c r="D328" s="2" t="s">
        <v>24</v>
      </c>
      <c r="E328" s="2" t="s">
        <v>14</v>
      </c>
      <c r="F328" s="2">
        <v>256.0</v>
      </c>
      <c r="G328" s="2">
        <v>6304.2</v>
      </c>
      <c r="H328" s="2">
        <v>1613874.0</v>
      </c>
      <c r="I328" s="2">
        <v>213.0</v>
      </c>
    </row>
    <row r="329" ht="15.75" customHeight="1">
      <c r="A329" s="2">
        <v>7.0</v>
      </c>
      <c r="B329" s="2" t="s">
        <v>35</v>
      </c>
      <c r="C329" s="2" t="s">
        <v>30</v>
      </c>
      <c r="D329" s="2" t="s">
        <v>24</v>
      </c>
      <c r="E329" s="2" t="s">
        <v>15</v>
      </c>
      <c r="F329" s="2">
        <v>615.0</v>
      </c>
      <c r="G329" s="2">
        <v>1177.38</v>
      </c>
      <c r="H329" s="2">
        <v>724086.0</v>
      </c>
      <c r="I329" s="2">
        <v>547.0</v>
      </c>
    </row>
    <row r="330" ht="15.75" customHeight="1">
      <c r="A330" s="2">
        <v>7.0</v>
      </c>
      <c r="B330" s="2" t="s">
        <v>35</v>
      </c>
      <c r="C330" s="2" t="s">
        <v>30</v>
      </c>
      <c r="D330" s="2" t="s">
        <v>25</v>
      </c>
      <c r="E330" s="2" t="s">
        <v>12</v>
      </c>
      <c r="F330" s="2">
        <v>680.0</v>
      </c>
      <c r="G330" s="2">
        <v>5557.25</v>
      </c>
      <c r="H330" s="2">
        <v>3778933.0</v>
      </c>
      <c r="I330" s="2">
        <v>620.0</v>
      </c>
    </row>
    <row r="331" ht="15.75" customHeight="1">
      <c r="A331" s="2">
        <v>7.0</v>
      </c>
      <c r="B331" s="2" t="s">
        <v>35</v>
      </c>
      <c r="C331" s="2" t="s">
        <v>30</v>
      </c>
      <c r="D331" s="2" t="s">
        <v>25</v>
      </c>
      <c r="E331" s="2" t="s">
        <v>13</v>
      </c>
      <c r="F331" s="2">
        <v>124.0</v>
      </c>
      <c r="G331" s="2">
        <v>22349.77</v>
      </c>
      <c r="H331" s="2">
        <v>2771371.0</v>
      </c>
      <c r="I331" s="2">
        <v>114.0</v>
      </c>
    </row>
    <row r="332" ht="15.75" customHeight="1">
      <c r="A332" s="2">
        <v>7.0</v>
      </c>
      <c r="B332" s="2" t="s">
        <v>35</v>
      </c>
      <c r="C332" s="2" t="s">
        <v>30</v>
      </c>
      <c r="D332" s="2" t="s">
        <v>25</v>
      </c>
      <c r="E332" s="2" t="s">
        <v>14</v>
      </c>
      <c r="F332" s="2">
        <v>467.0</v>
      </c>
      <c r="G332" s="2">
        <v>6828.89</v>
      </c>
      <c r="H332" s="2">
        <v>3189090.0</v>
      </c>
      <c r="I332" s="2">
        <v>347.0</v>
      </c>
    </row>
    <row r="333" ht="15.75" customHeight="1">
      <c r="A333" s="2">
        <v>7.0</v>
      </c>
      <c r="B333" s="2" t="s">
        <v>35</v>
      </c>
      <c r="C333" s="2" t="s">
        <v>30</v>
      </c>
      <c r="D333" s="2" t="s">
        <v>25</v>
      </c>
      <c r="E333" s="2" t="s">
        <v>15</v>
      </c>
      <c r="F333" s="2">
        <v>485.0</v>
      </c>
      <c r="G333" s="2">
        <v>1220.77</v>
      </c>
      <c r="H333" s="2">
        <v>592073.0</v>
      </c>
      <c r="I333" s="2">
        <v>450.0</v>
      </c>
    </row>
    <row r="334" ht="15.75" customHeight="1">
      <c r="A334" s="2">
        <v>7.0</v>
      </c>
      <c r="B334" s="2" t="s">
        <v>35</v>
      </c>
      <c r="C334" s="2" t="s">
        <v>30</v>
      </c>
      <c r="D334" s="2" t="s">
        <v>26</v>
      </c>
      <c r="E334" s="2" t="s">
        <v>12</v>
      </c>
      <c r="F334" s="2">
        <v>934.0</v>
      </c>
      <c r="G334" s="2">
        <v>5083.79</v>
      </c>
      <c r="H334" s="2">
        <v>4748259.0</v>
      </c>
      <c r="I334" s="2">
        <v>869.0</v>
      </c>
    </row>
    <row r="335" ht="15.75" customHeight="1">
      <c r="A335" s="2">
        <v>7.0</v>
      </c>
      <c r="B335" s="2" t="s">
        <v>35</v>
      </c>
      <c r="C335" s="2" t="s">
        <v>30</v>
      </c>
      <c r="D335" s="2" t="s">
        <v>26</v>
      </c>
      <c r="E335" s="2" t="s">
        <v>13</v>
      </c>
      <c r="F335" s="2">
        <v>158.0</v>
      </c>
      <c r="G335" s="2">
        <v>22342.52</v>
      </c>
      <c r="H335" s="2">
        <v>3530119.0</v>
      </c>
      <c r="I335" s="2">
        <v>147.0</v>
      </c>
    </row>
    <row r="336" ht="15.75" customHeight="1">
      <c r="A336" s="2">
        <v>7.0</v>
      </c>
      <c r="B336" s="2" t="s">
        <v>35</v>
      </c>
      <c r="C336" s="2" t="s">
        <v>30</v>
      </c>
      <c r="D336" s="2" t="s">
        <v>26</v>
      </c>
      <c r="E336" s="2" t="s">
        <v>14</v>
      </c>
      <c r="F336" s="2">
        <v>281.0</v>
      </c>
      <c r="G336" s="2">
        <v>7106.99</v>
      </c>
      <c r="H336" s="2">
        <v>1997064.0</v>
      </c>
      <c r="I336" s="2">
        <v>241.0</v>
      </c>
    </row>
    <row r="337" ht="15.75" customHeight="1">
      <c r="A337" s="2">
        <v>7.0</v>
      </c>
      <c r="B337" s="2" t="s">
        <v>35</v>
      </c>
      <c r="C337" s="2" t="s">
        <v>30</v>
      </c>
      <c r="D337" s="2" t="s">
        <v>26</v>
      </c>
      <c r="E337" s="2" t="s">
        <v>15</v>
      </c>
      <c r="F337" s="2">
        <v>925.0</v>
      </c>
      <c r="G337" s="2">
        <v>928.75</v>
      </c>
      <c r="H337" s="2">
        <v>859095.0</v>
      </c>
      <c r="I337" s="2">
        <v>785.0</v>
      </c>
    </row>
    <row r="338" ht="15.75" customHeight="1">
      <c r="A338" s="2">
        <v>8.0</v>
      </c>
      <c r="B338" s="2" t="s">
        <v>36</v>
      </c>
      <c r="C338" s="2" t="s">
        <v>30</v>
      </c>
      <c r="D338" s="2" t="s">
        <v>11</v>
      </c>
      <c r="E338" s="2" t="s">
        <v>12</v>
      </c>
      <c r="F338" s="2">
        <v>787.0</v>
      </c>
      <c r="G338" s="2">
        <v>5503.78</v>
      </c>
      <c r="H338" s="2">
        <v>4331473.0</v>
      </c>
      <c r="I338" s="2">
        <v>655.0</v>
      </c>
    </row>
    <row r="339" ht="15.75" customHeight="1">
      <c r="A339" s="2">
        <v>8.0</v>
      </c>
      <c r="B339" s="2" t="s">
        <v>36</v>
      </c>
      <c r="C339" s="2" t="s">
        <v>30</v>
      </c>
      <c r="D339" s="2" t="s">
        <v>11</v>
      </c>
      <c r="E339" s="2" t="s">
        <v>13</v>
      </c>
      <c r="F339" s="2">
        <v>207.0</v>
      </c>
      <c r="G339" s="2">
        <v>21459.9</v>
      </c>
      <c r="H339" s="2">
        <v>4442200.0</v>
      </c>
      <c r="I339" s="2">
        <v>174.0</v>
      </c>
    </row>
    <row r="340" ht="15.75" customHeight="1">
      <c r="A340" s="2">
        <v>8.0</v>
      </c>
      <c r="B340" s="2" t="s">
        <v>36</v>
      </c>
      <c r="C340" s="2" t="s">
        <v>30</v>
      </c>
      <c r="D340" s="2" t="s">
        <v>11</v>
      </c>
      <c r="E340" s="2" t="s">
        <v>14</v>
      </c>
      <c r="F340" s="2">
        <v>203.0</v>
      </c>
      <c r="G340" s="2">
        <v>6504.82</v>
      </c>
      <c r="H340" s="2">
        <v>1320479.0</v>
      </c>
      <c r="I340" s="2">
        <v>173.0</v>
      </c>
    </row>
    <row r="341" ht="15.75" customHeight="1">
      <c r="A341" s="2">
        <v>8.0</v>
      </c>
      <c r="B341" s="2" t="s">
        <v>36</v>
      </c>
      <c r="C341" s="2" t="s">
        <v>30</v>
      </c>
      <c r="D341" s="2" t="s">
        <v>11</v>
      </c>
      <c r="E341" s="2" t="s">
        <v>15</v>
      </c>
      <c r="F341" s="2">
        <v>415.0</v>
      </c>
      <c r="G341" s="2">
        <v>1304.35</v>
      </c>
      <c r="H341" s="2">
        <v>541307.0</v>
      </c>
      <c r="I341" s="2">
        <v>334.0</v>
      </c>
    </row>
    <row r="342" ht="15.75" customHeight="1">
      <c r="A342" s="2">
        <v>8.0</v>
      </c>
      <c r="B342" s="2" t="s">
        <v>36</v>
      </c>
      <c r="C342" s="2" t="s">
        <v>30</v>
      </c>
      <c r="D342" s="2" t="s">
        <v>16</v>
      </c>
      <c r="E342" s="2" t="s">
        <v>12</v>
      </c>
      <c r="F342" s="2">
        <v>707.0</v>
      </c>
      <c r="G342" s="2">
        <v>5316.46</v>
      </c>
      <c r="H342" s="2">
        <v>3758735.0</v>
      </c>
      <c r="I342" s="2">
        <v>660.0</v>
      </c>
    </row>
    <row r="343" ht="15.75" customHeight="1">
      <c r="A343" s="2">
        <v>8.0</v>
      </c>
      <c r="B343" s="2" t="s">
        <v>36</v>
      </c>
      <c r="C343" s="2" t="s">
        <v>30</v>
      </c>
      <c r="D343" s="2" t="s">
        <v>16</v>
      </c>
      <c r="E343" s="2" t="s">
        <v>13</v>
      </c>
      <c r="F343" s="2">
        <v>222.0</v>
      </c>
      <c r="G343" s="2">
        <v>22352.38</v>
      </c>
      <c r="H343" s="2">
        <v>4962229.0</v>
      </c>
      <c r="I343" s="2">
        <v>210.0</v>
      </c>
    </row>
    <row r="344" ht="15.75" customHeight="1">
      <c r="A344" s="2">
        <v>8.0</v>
      </c>
      <c r="B344" s="2" t="s">
        <v>36</v>
      </c>
      <c r="C344" s="2" t="s">
        <v>30</v>
      </c>
      <c r="D344" s="2" t="s">
        <v>16</v>
      </c>
      <c r="E344" s="2" t="s">
        <v>14</v>
      </c>
      <c r="F344" s="2">
        <v>228.0</v>
      </c>
      <c r="G344" s="2">
        <v>6544.81</v>
      </c>
      <c r="H344" s="2">
        <v>1492217.0</v>
      </c>
      <c r="I344" s="2">
        <v>186.0</v>
      </c>
    </row>
    <row r="345" ht="15.75" customHeight="1">
      <c r="A345" s="2">
        <v>8.0</v>
      </c>
      <c r="B345" s="2" t="s">
        <v>36</v>
      </c>
      <c r="C345" s="2" t="s">
        <v>30</v>
      </c>
      <c r="D345" s="2" t="s">
        <v>16</v>
      </c>
      <c r="E345" s="2" t="s">
        <v>15</v>
      </c>
      <c r="F345" s="2">
        <v>1096.0</v>
      </c>
      <c r="G345" s="2">
        <v>1340.93</v>
      </c>
      <c r="H345" s="2">
        <v>1469664.0</v>
      </c>
      <c r="I345" s="2">
        <v>926.0</v>
      </c>
    </row>
    <row r="346" ht="15.75" customHeight="1">
      <c r="A346" s="2">
        <v>8.0</v>
      </c>
      <c r="B346" s="2" t="s">
        <v>36</v>
      </c>
      <c r="C346" s="2" t="s">
        <v>30</v>
      </c>
      <c r="D346" s="2" t="s">
        <v>17</v>
      </c>
      <c r="E346" s="2" t="s">
        <v>12</v>
      </c>
      <c r="F346" s="2">
        <v>838.0</v>
      </c>
      <c r="G346" s="2">
        <v>5138.79</v>
      </c>
      <c r="H346" s="2">
        <v>4306309.0</v>
      </c>
      <c r="I346" s="2">
        <v>657.0</v>
      </c>
    </row>
    <row r="347" ht="15.75" customHeight="1">
      <c r="A347" s="2">
        <v>8.0</v>
      </c>
      <c r="B347" s="2" t="s">
        <v>36</v>
      </c>
      <c r="C347" s="2" t="s">
        <v>30</v>
      </c>
      <c r="D347" s="2" t="s">
        <v>17</v>
      </c>
      <c r="E347" s="2" t="s">
        <v>13</v>
      </c>
      <c r="F347" s="2">
        <v>183.0</v>
      </c>
      <c r="G347" s="2">
        <v>21339.37</v>
      </c>
      <c r="H347" s="2">
        <v>3905104.0</v>
      </c>
      <c r="I347" s="2">
        <v>161.0</v>
      </c>
    </row>
    <row r="348" ht="15.75" customHeight="1">
      <c r="A348" s="2">
        <v>8.0</v>
      </c>
      <c r="B348" s="2" t="s">
        <v>36</v>
      </c>
      <c r="C348" s="2" t="s">
        <v>30</v>
      </c>
      <c r="D348" s="2" t="s">
        <v>17</v>
      </c>
      <c r="E348" s="2" t="s">
        <v>14</v>
      </c>
      <c r="F348" s="2">
        <v>376.0</v>
      </c>
      <c r="G348" s="2">
        <v>6609.89</v>
      </c>
      <c r="H348" s="2">
        <v>2485319.0</v>
      </c>
      <c r="I348" s="2">
        <v>290.0</v>
      </c>
    </row>
    <row r="349" ht="15.75" customHeight="1">
      <c r="A349" s="2">
        <v>8.0</v>
      </c>
      <c r="B349" s="2" t="s">
        <v>36</v>
      </c>
      <c r="C349" s="2" t="s">
        <v>30</v>
      </c>
      <c r="D349" s="2" t="s">
        <v>17</v>
      </c>
      <c r="E349" s="2" t="s">
        <v>15</v>
      </c>
      <c r="F349" s="2">
        <v>723.0</v>
      </c>
      <c r="G349" s="2">
        <v>1119.52</v>
      </c>
      <c r="H349" s="2">
        <v>809414.0</v>
      </c>
      <c r="I349" s="2">
        <v>635.0</v>
      </c>
    </row>
    <row r="350" ht="15.75" customHeight="1">
      <c r="A350" s="2">
        <v>8.0</v>
      </c>
      <c r="B350" s="2" t="s">
        <v>36</v>
      </c>
      <c r="C350" s="2" t="s">
        <v>30</v>
      </c>
      <c r="D350" s="2" t="s">
        <v>18</v>
      </c>
      <c r="E350" s="2" t="s">
        <v>12</v>
      </c>
      <c r="F350" s="2">
        <v>892.0</v>
      </c>
      <c r="G350" s="2">
        <v>5293.06</v>
      </c>
      <c r="H350" s="2">
        <v>4721412.0</v>
      </c>
      <c r="I350" s="2">
        <v>710.0</v>
      </c>
    </row>
    <row r="351" ht="15.75" customHeight="1">
      <c r="A351" s="2">
        <v>8.0</v>
      </c>
      <c r="B351" s="2" t="s">
        <v>36</v>
      </c>
      <c r="C351" s="2" t="s">
        <v>30</v>
      </c>
      <c r="D351" s="2" t="s">
        <v>18</v>
      </c>
      <c r="E351" s="2" t="s">
        <v>13</v>
      </c>
      <c r="F351" s="2">
        <v>187.0</v>
      </c>
      <c r="G351" s="2">
        <v>21687.37</v>
      </c>
      <c r="H351" s="2">
        <v>4055539.0</v>
      </c>
      <c r="I351" s="2">
        <v>136.0</v>
      </c>
    </row>
    <row r="352" ht="15.75" customHeight="1">
      <c r="A352" s="2">
        <v>8.0</v>
      </c>
      <c r="B352" s="2" t="s">
        <v>36</v>
      </c>
      <c r="C352" s="2" t="s">
        <v>30</v>
      </c>
      <c r="D352" s="2" t="s">
        <v>18</v>
      </c>
      <c r="E352" s="2" t="s">
        <v>14</v>
      </c>
      <c r="F352" s="2">
        <v>386.0</v>
      </c>
      <c r="G352" s="2">
        <v>6650.28</v>
      </c>
      <c r="H352" s="2">
        <v>2567009.0</v>
      </c>
      <c r="I352" s="2">
        <v>355.0</v>
      </c>
    </row>
    <row r="353" ht="15.75" customHeight="1">
      <c r="A353" s="2">
        <v>8.0</v>
      </c>
      <c r="B353" s="2" t="s">
        <v>36</v>
      </c>
      <c r="C353" s="2" t="s">
        <v>30</v>
      </c>
      <c r="D353" s="2" t="s">
        <v>18</v>
      </c>
      <c r="E353" s="2" t="s">
        <v>15</v>
      </c>
      <c r="F353" s="2">
        <v>701.0</v>
      </c>
      <c r="G353" s="2">
        <v>1117.44</v>
      </c>
      <c r="H353" s="2">
        <v>783327.0</v>
      </c>
      <c r="I353" s="2">
        <v>595.0</v>
      </c>
    </row>
    <row r="354" ht="15.75" customHeight="1">
      <c r="A354" s="2">
        <v>8.0</v>
      </c>
      <c r="B354" s="2" t="s">
        <v>36</v>
      </c>
      <c r="C354" s="2" t="s">
        <v>30</v>
      </c>
      <c r="D354" s="2" t="s">
        <v>19</v>
      </c>
      <c r="E354" s="2" t="s">
        <v>12</v>
      </c>
      <c r="F354" s="2">
        <v>661.0</v>
      </c>
      <c r="G354" s="2">
        <v>5075.46</v>
      </c>
      <c r="H354" s="2">
        <v>3354876.0</v>
      </c>
      <c r="I354" s="2">
        <v>626.0</v>
      </c>
    </row>
    <row r="355" ht="15.75" customHeight="1">
      <c r="A355" s="2">
        <v>8.0</v>
      </c>
      <c r="B355" s="2" t="s">
        <v>36</v>
      </c>
      <c r="C355" s="2" t="s">
        <v>30</v>
      </c>
      <c r="D355" s="2" t="s">
        <v>19</v>
      </c>
      <c r="E355" s="2" t="s">
        <v>13</v>
      </c>
      <c r="F355" s="2">
        <v>158.0</v>
      </c>
      <c r="G355" s="2">
        <v>21805.93</v>
      </c>
      <c r="H355" s="2">
        <v>3445337.0</v>
      </c>
      <c r="I355" s="2">
        <v>126.0</v>
      </c>
    </row>
    <row r="356" ht="15.75" customHeight="1">
      <c r="A356" s="2">
        <v>8.0</v>
      </c>
      <c r="B356" s="2" t="s">
        <v>36</v>
      </c>
      <c r="C356" s="2" t="s">
        <v>30</v>
      </c>
      <c r="D356" s="2" t="s">
        <v>19</v>
      </c>
      <c r="E356" s="2" t="s">
        <v>14</v>
      </c>
      <c r="F356" s="2">
        <v>262.0</v>
      </c>
      <c r="G356" s="2">
        <v>6885.44</v>
      </c>
      <c r="H356" s="2">
        <v>1803986.0</v>
      </c>
      <c r="I356" s="2">
        <v>191.0</v>
      </c>
    </row>
    <row r="357" ht="15.75" customHeight="1">
      <c r="A357" s="2">
        <v>8.0</v>
      </c>
      <c r="B357" s="2" t="s">
        <v>36</v>
      </c>
      <c r="C357" s="2" t="s">
        <v>30</v>
      </c>
      <c r="D357" s="2" t="s">
        <v>19</v>
      </c>
      <c r="E357" s="2" t="s">
        <v>15</v>
      </c>
      <c r="F357" s="2">
        <v>506.0</v>
      </c>
      <c r="G357" s="2">
        <v>1149.63</v>
      </c>
      <c r="H357" s="2">
        <v>581713.0</v>
      </c>
      <c r="I357" s="2">
        <v>376.0</v>
      </c>
    </row>
    <row r="358" ht="15.75" customHeight="1">
      <c r="A358" s="2">
        <v>8.0</v>
      </c>
      <c r="B358" s="2" t="s">
        <v>36</v>
      </c>
      <c r="C358" s="2" t="s">
        <v>30</v>
      </c>
      <c r="D358" s="2" t="s">
        <v>20</v>
      </c>
      <c r="E358" s="2" t="s">
        <v>12</v>
      </c>
      <c r="F358" s="2">
        <v>817.0</v>
      </c>
      <c r="G358" s="2">
        <v>5393.71</v>
      </c>
      <c r="H358" s="2">
        <v>4406663.0</v>
      </c>
      <c r="I358" s="2">
        <v>700.0</v>
      </c>
    </row>
    <row r="359" ht="15.75" customHeight="1">
      <c r="A359" s="2">
        <v>8.0</v>
      </c>
      <c r="B359" s="2" t="s">
        <v>36</v>
      </c>
      <c r="C359" s="2" t="s">
        <v>30</v>
      </c>
      <c r="D359" s="2" t="s">
        <v>20</v>
      </c>
      <c r="E359" s="2" t="s">
        <v>13</v>
      </c>
      <c r="F359" s="2">
        <v>108.0</v>
      </c>
      <c r="G359" s="2">
        <v>21906.55</v>
      </c>
      <c r="H359" s="2">
        <v>2365908.0</v>
      </c>
      <c r="I359" s="2">
        <v>100.0</v>
      </c>
    </row>
    <row r="360" ht="15.75" customHeight="1">
      <c r="A360" s="2">
        <v>8.0</v>
      </c>
      <c r="B360" s="2" t="s">
        <v>36</v>
      </c>
      <c r="C360" s="2" t="s">
        <v>30</v>
      </c>
      <c r="D360" s="2" t="s">
        <v>20</v>
      </c>
      <c r="E360" s="2" t="s">
        <v>14</v>
      </c>
      <c r="F360" s="2">
        <v>440.0</v>
      </c>
      <c r="G360" s="2">
        <v>6587.98</v>
      </c>
      <c r="H360" s="2">
        <v>2898711.0</v>
      </c>
      <c r="I360" s="2">
        <v>391.0</v>
      </c>
    </row>
    <row r="361" ht="15.75" customHeight="1">
      <c r="A361" s="2">
        <v>8.0</v>
      </c>
      <c r="B361" s="2" t="s">
        <v>36</v>
      </c>
      <c r="C361" s="2" t="s">
        <v>30</v>
      </c>
      <c r="D361" s="2" t="s">
        <v>20</v>
      </c>
      <c r="E361" s="2" t="s">
        <v>15</v>
      </c>
      <c r="F361" s="2">
        <v>461.0</v>
      </c>
      <c r="G361" s="2">
        <v>1082.64</v>
      </c>
      <c r="H361" s="2">
        <v>499098.0</v>
      </c>
      <c r="I361" s="2">
        <v>437.0</v>
      </c>
    </row>
    <row r="362" ht="15.75" customHeight="1">
      <c r="A362" s="2">
        <v>8.0</v>
      </c>
      <c r="B362" s="2" t="s">
        <v>36</v>
      </c>
      <c r="C362" s="2" t="s">
        <v>30</v>
      </c>
      <c r="D362" s="2" t="s">
        <v>21</v>
      </c>
      <c r="E362" s="2" t="s">
        <v>12</v>
      </c>
      <c r="F362" s="2">
        <v>602.0</v>
      </c>
      <c r="G362" s="2">
        <v>5189.56</v>
      </c>
      <c r="H362" s="2">
        <v>3124112.0</v>
      </c>
      <c r="I362" s="2">
        <v>455.0</v>
      </c>
    </row>
    <row r="363" ht="15.75" customHeight="1">
      <c r="A363" s="2">
        <v>8.0</v>
      </c>
      <c r="B363" s="2" t="s">
        <v>36</v>
      </c>
      <c r="C363" s="2" t="s">
        <v>30</v>
      </c>
      <c r="D363" s="2" t="s">
        <v>21</v>
      </c>
      <c r="E363" s="2" t="s">
        <v>13</v>
      </c>
      <c r="F363" s="2">
        <v>188.0</v>
      </c>
      <c r="G363" s="2">
        <v>22006.35</v>
      </c>
      <c r="H363" s="2">
        <v>4137193.0</v>
      </c>
      <c r="I363" s="2">
        <v>159.0</v>
      </c>
    </row>
    <row r="364" ht="15.75" customHeight="1">
      <c r="A364" s="2">
        <v>8.0</v>
      </c>
      <c r="B364" s="2" t="s">
        <v>36</v>
      </c>
      <c r="C364" s="2" t="s">
        <v>30</v>
      </c>
      <c r="D364" s="2" t="s">
        <v>21</v>
      </c>
      <c r="E364" s="2" t="s">
        <v>14</v>
      </c>
      <c r="F364" s="2">
        <v>297.0</v>
      </c>
      <c r="G364" s="2">
        <v>6026.3</v>
      </c>
      <c r="H364" s="2">
        <v>1789811.0</v>
      </c>
      <c r="I364" s="2">
        <v>228.0</v>
      </c>
    </row>
    <row r="365" ht="15.75" customHeight="1">
      <c r="A365" s="2">
        <v>8.0</v>
      </c>
      <c r="B365" s="2" t="s">
        <v>36</v>
      </c>
      <c r="C365" s="2" t="s">
        <v>30</v>
      </c>
      <c r="D365" s="2" t="s">
        <v>21</v>
      </c>
      <c r="E365" s="2" t="s">
        <v>15</v>
      </c>
      <c r="F365" s="2">
        <v>940.0</v>
      </c>
      <c r="G365" s="2">
        <v>1112.16</v>
      </c>
      <c r="H365" s="2">
        <v>1045433.0</v>
      </c>
      <c r="I365" s="2">
        <v>866.0</v>
      </c>
    </row>
    <row r="366" ht="15.75" customHeight="1">
      <c r="A366" s="2">
        <v>8.0</v>
      </c>
      <c r="B366" s="2" t="s">
        <v>36</v>
      </c>
      <c r="C366" s="2" t="s">
        <v>30</v>
      </c>
      <c r="D366" s="2" t="s">
        <v>22</v>
      </c>
      <c r="E366" s="2" t="s">
        <v>12</v>
      </c>
      <c r="F366" s="2">
        <v>931.0</v>
      </c>
      <c r="G366" s="2">
        <v>5286.2</v>
      </c>
      <c r="H366" s="2">
        <v>4921448.0</v>
      </c>
      <c r="I366" s="2">
        <v>868.0</v>
      </c>
    </row>
    <row r="367" ht="15.75" customHeight="1">
      <c r="A367" s="2">
        <v>8.0</v>
      </c>
      <c r="B367" s="2" t="s">
        <v>36</v>
      </c>
      <c r="C367" s="2" t="s">
        <v>30</v>
      </c>
      <c r="D367" s="2" t="s">
        <v>22</v>
      </c>
      <c r="E367" s="2" t="s">
        <v>13</v>
      </c>
      <c r="F367" s="2">
        <v>238.0</v>
      </c>
      <c r="G367" s="2">
        <v>21349.94</v>
      </c>
      <c r="H367" s="2">
        <v>5081285.0</v>
      </c>
      <c r="I367" s="2">
        <v>171.0</v>
      </c>
    </row>
    <row r="368" ht="15.75" customHeight="1">
      <c r="A368" s="2">
        <v>8.0</v>
      </c>
      <c r="B368" s="2" t="s">
        <v>36</v>
      </c>
      <c r="C368" s="2" t="s">
        <v>30</v>
      </c>
      <c r="D368" s="2" t="s">
        <v>22</v>
      </c>
      <c r="E368" s="2" t="s">
        <v>14</v>
      </c>
      <c r="F368" s="2">
        <v>323.0</v>
      </c>
      <c r="G368" s="2">
        <v>6286.2</v>
      </c>
      <c r="H368" s="2">
        <v>2030444.0</v>
      </c>
      <c r="I368" s="2">
        <v>284.0</v>
      </c>
    </row>
    <row r="369" ht="15.75" customHeight="1">
      <c r="A369" s="2">
        <v>8.0</v>
      </c>
      <c r="B369" s="2" t="s">
        <v>36</v>
      </c>
      <c r="C369" s="2" t="s">
        <v>30</v>
      </c>
      <c r="D369" s="2" t="s">
        <v>22</v>
      </c>
      <c r="E369" s="2" t="s">
        <v>15</v>
      </c>
      <c r="F369" s="2">
        <v>1001.0</v>
      </c>
      <c r="G369" s="2">
        <v>1126.91</v>
      </c>
      <c r="H369" s="2">
        <v>1128034.0</v>
      </c>
      <c r="I369" s="2">
        <v>833.0</v>
      </c>
    </row>
    <row r="370" ht="15.75" customHeight="1">
      <c r="A370" s="2">
        <v>8.0</v>
      </c>
      <c r="B370" s="2" t="s">
        <v>36</v>
      </c>
      <c r="C370" s="2" t="s">
        <v>30</v>
      </c>
      <c r="D370" s="2" t="s">
        <v>23</v>
      </c>
      <c r="E370" s="2" t="s">
        <v>12</v>
      </c>
      <c r="F370" s="2">
        <v>636.0</v>
      </c>
      <c r="G370" s="2">
        <v>5438.95</v>
      </c>
      <c r="H370" s="2">
        <v>3459174.0</v>
      </c>
      <c r="I370" s="2">
        <v>457.0</v>
      </c>
    </row>
    <row r="371" ht="15.75" customHeight="1">
      <c r="A371" s="2">
        <v>8.0</v>
      </c>
      <c r="B371" s="2" t="s">
        <v>36</v>
      </c>
      <c r="C371" s="2" t="s">
        <v>30</v>
      </c>
      <c r="D371" s="2" t="s">
        <v>23</v>
      </c>
      <c r="E371" s="2" t="s">
        <v>13</v>
      </c>
      <c r="F371" s="2">
        <v>180.0</v>
      </c>
      <c r="G371" s="2">
        <v>20651.34</v>
      </c>
      <c r="H371" s="2">
        <v>3717241.0</v>
      </c>
      <c r="I371" s="2">
        <v>128.0</v>
      </c>
    </row>
    <row r="372" ht="15.75" customHeight="1">
      <c r="A372" s="2">
        <v>8.0</v>
      </c>
      <c r="B372" s="2" t="s">
        <v>36</v>
      </c>
      <c r="C372" s="2" t="s">
        <v>30</v>
      </c>
      <c r="D372" s="2" t="s">
        <v>23</v>
      </c>
      <c r="E372" s="2" t="s">
        <v>14</v>
      </c>
      <c r="F372" s="2">
        <v>423.0</v>
      </c>
      <c r="G372" s="2">
        <v>6972.25</v>
      </c>
      <c r="H372" s="2">
        <v>2949261.0</v>
      </c>
      <c r="I372" s="2">
        <v>356.0</v>
      </c>
    </row>
    <row r="373" ht="15.75" customHeight="1">
      <c r="A373" s="2">
        <v>8.0</v>
      </c>
      <c r="B373" s="2" t="s">
        <v>36</v>
      </c>
      <c r="C373" s="2" t="s">
        <v>30</v>
      </c>
      <c r="D373" s="2" t="s">
        <v>23</v>
      </c>
      <c r="E373" s="2" t="s">
        <v>15</v>
      </c>
      <c r="F373" s="2">
        <v>439.0</v>
      </c>
      <c r="G373" s="2">
        <v>1203.59</v>
      </c>
      <c r="H373" s="2">
        <v>528376.0</v>
      </c>
      <c r="I373" s="2">
        <v>381.0</v>
      </c>
    </row>
    <row r="374" ht="15.75" customHeight="1">
      <c r="A374" s="2">
        <v>8.0</v>
      </c>
      <c r="B374" s="2" t="s">
        <v>36</v>
      </c>
      <c r="C374" s="2" t="s">
        <v>30</v>
      </c>
      <c r="D374" s="2" t="s">
        <v>24</v>
      </c>
      <c r="E374" s="2" t="s">
        <v>12</v>
      </c>
      <c r="F374" s="2">
        <v>888.0</v>
      </c>
      <c r="G374" s="2">
        <v>5348.0</v>
      </c>
      <c r="H374" s="2">
        <v>4749028.0</v>
      </c>
      <c r="I374" s="2">
        <v>767.0</v>
      </c>
    </row>
    <row r="375" ht="15.75" customHeight="1">
      <c r="A375" s="2">
        <v>8.0</v>
      </c>
      <c r="B375" s="2" t="s">
        <v>36</v>
      </c>
      <c r="C375" s="2" t="s">
        <v>30</v>
      </c>
      <c r="D375" s="2" t="s">
        <v>24</v>
      </c>
      <c r="E375" s="2" t="s">
        <v>13</v>
      </c>
      <c r="F375" s="2">
        <v>196.0</v>
      </c>
      <c r="G375" s="2">
        <v>21744.44</v>
      </c>
      <c r="H375" s="2">
        <v>4261911.0</v>
      </c>
      <c r="I375" s="2">
        <v>144.0</v>
      </c>
    </row>
    <row r="376" ht="15.75" customHeight="1">
      <c r="A376" s="2">
        <v>8.0</v>
      </c>
      <c r="B376" s="2" t="s">
        <v>36</v>
      </c>
      <c r="C376" s="2" t="s">
        <v>30</v>
      </c>
      <c r="D376" s="2" t="s">
        <v>24</v>
      </c>
      <c r="E376" s="2" t="s">
        <v>14</v>
      </c>
      <c r="F376" s="2">
        <v>368.0</v>
      </c>
      <c r="G376" s="2">
        <v>6349.33</v>
      </c>
      <c r="H376" s="2">
        <v>2336554.0</v>
      </c>
      <c r="I376" s="2">
        <v>343.0</v>
      </c>
    </row>
    <row r="377" ht="15.75" customHeight="1">
      <c r="A377" s="2">
        <v>8.0</v>
      </c>
      <c r="B377" s="2" t="s">
        <v>36</v>
      </c>
      <c r="C377" s="2" t="s">
        <v>30</v>
      </c>
      <c r="D377" s="2" t="s">
        <v>24</v>
      </c>
      <c r="E377" s="2" t="s">
        <v>15</v>
      </c>
      <c r="F377" s="2">
        <v>755.0</v>
      </c>
      <c r="G377" s="2">
        <v>1125.75</v>
      </c>
      <c r="H377" s="2">
        <v>849940.0</v>
      </c>
      <c r="I377" s="2">
        <v>645.0</v>
      </c>
    </row>
    <row r="378" ht="15.75" customHeight="1">
      <c r="A378" s="2">
        <v>8.0</v>
      </c>
      <c r="B378" s="2" t="s">
        <v>36</v>
      </c>
      <c r="C378" s="2" t="s">
        <v>30</v>
      </c>
      <c r="D378" s="2" t="s">
        <v>25</v>
      </c>
      <c r="E378" s="2" t="s">
        <v>12</v>
      </c>
      <c r="F378" s="2">
        <v>1021.0</v>
      </c>
      <c r="G378" s="2">
        <v>5338.97</v>
      </c>
      <c r="H378" s="2">
        <v>5451089.0</v>
      </c>
      <c r="I378" s="2">
        <v>960.0</v>
      </c>
    </row>
    <row r="379" ht="15.75" customHeight="1">
      <c r="A379" s="2">
        <v>8.0</v>
      </c>
      <c r="B379" s="2" t="s">
        <v>36</v>
      </c>
      <c r="C379" s="2" t="s">
        <v>30</v>
      </c>
      <c r="D379" s="2" t="s">
        <v>25</v>
      </c>
      <c r="E379" s="2" t="s">
        <v>13</v>
      </c>
      <c r="F379" s="2">
        <v>130.0</v>
      </c>
      <c r="G379" s="2">
        <v>21373.06</v>
      </c>
      <c r="H379" s="2">
        <v>2778498.0</v>
      </c>
      <c r="I379" s="2">
        <v>117.0</v>
      </c>
    </row>
    <row r="380" ht="15.75" customHeight="1">
      <c r="A380" s="2">
        <v>8.0</v>
      </c>
      <c r="B380" s="2" t="s">
        <v>36</v>
      </c>
      <c r="C380" s="2" t="s">
        <v>30</v>
      </c>
      <c r="D380" s="2" t="s">
        <v>25</v>
      </c>
      <c r="E380" s="2" t="s">
        <v>14</v>
      </c>
      <c r="F380" s="2">
        <v>359.0</v>
      </c>
      <c r="G380" s="2">
        <v>7061.95</v>
      </c>
      <c r="H380" s="2">
        <v>2535241.0</v>
      </c>
      <c r="I380" s="2">
        <v>265.0</v>
      </c>
    </row>
    <row r="381" ht="15.75" customHeight="1">
      <c r="A381" s="2">
        <v>8.0</v>
      </c>
      <c r="B381" s="2" t="s">
        <v>36</v>
      </c>
      <c r="C381" s="2" t="s">
        <v>30</v>
      </c>
      <c r="D381" s="2" t="s">
        <v>25</v>
      </c>
      <c r="E381" s="2" t="s">
        <v>15</v>
      </c>
      <c r="F381" s="2">
        <v>755.0</v>
      </c>
      <c r="G381" s="2">
        <v>1118.31</v>
      </c>
      <c r="H381" s="2">
        <v>844321.0</v>
      </c>
      <c r="I381" s="2">
        <v>633.0</v>
      </c>
    </row>
    <row r="382" ht="15.75" customHeight="1">
      <c r="A382" s="2">
        <v>8.0</v>
      </c>
      <c r="B382" s="2" t="s">
        <v>36</v>
      </c>
      <c r="C382" s="2" t="s">
        <v>30</v>
      </c>
      <c r="D382" s="2" t="s">
        <v>26</v>
      </c>
      <c r="E382" s="2" t="s">
        <v>12</v>
      </c>
      <c r="F382" s="2">
        <v>1188.0</v>
      </c>
      <c r="G382" s="2">
        <v>5254.86</v>
      </c>
      <c r="H382" s="2">
        <v>6242770.0</v>
      </c>
      <c r="I382" s="2">
        <v>916.0</v>
      </c>
    </row>
    <row r="383" ht="15.75" customHeight="1">
      <c r="A383" s="2">
        <v>8.0</v>
      </c>
      <c r="B383" s="2" t="s">
        <v>36</v>
      </c>
      <c r="C383" s="2" t="s">
        <v>30</v>
      </c>
      <c r="D383" s="2" t="s">
        <v>26</v>
      </c>
      <c r="E383" s="2" t="s">
        <v>13</v>
      </c>
      <c r="F383" s="2">
        <v>145.0</v>
      </c>
      <c r="G383" s="2">
        <v>21502.73</v>
      </c>
      <c r="H383" s="2">
        <v>3117896.0</v>
      </c>
      <c r="I383" s="2">
        <v>113.0</v>
      </c>
    </row>
    <row r="384" ht="15.75" customHeight="1">
      <c r="A384" s="2">
        <v>8.0</v>
      </c>
      <c r="B384" s="2" t="s">
        <v>36</v>
      </c>
      <c r="C384" s="2" t="s">
        <v>30</v>
      </c>
      <c r="D384" s="2" t="s">
        <v>26</v>
      </c>
      <c r="E384" s="2" t="s">
        <v>14</v>
      </c>
      <c r="F384" s="2">
        <v>432.0</v>
      </c>
      <c r="G384" s="2">
        <v>6292.04</v>
      </c>
      <c r="H384" s="2">
        <v>2718163.0</v>
      </c>
      <c r="I384" s="2">
        <v>370.0</v>
      </c>
    </row>
    <row r="385" ht="15.75" customHeight="1">
      <c r="A385" s="2">
        <v>8.0</v>
      </c>
      <c r="B385" s="2" t="s">
        <v>36</v>
      </c>
      <c r="C385" s="2" t="s">
        <v>30</v>
      </c>
      <c r="D385" s="2" t="s">
        <v>26</v>
      </c>
      <c r="E385" s="2" t="s">
        <v>15</v>
      </c>
      <c r="F385" s="2">
        <v>764.0</v>
      </c>
      <c r="G385" s="2">
        <v>1274.63</v>
      </c>
      <c r="H385" s="2">
        <v>973814.0</v>
      </c>
      <c r="I385" s="2">
        <v>683.0</v>
      </c>
    </row>
    <row r="386" ht="15.75" customHeight="1">
      <c r="A386" s="2">
        <v>9.0</v>
      </c>
      <c r="B386" s="2" t="s">
        <v>37</v>
      </c>
      <c r="C386" s="2" t="s">
        <v>30</v>
      </c>
      <c r="D386" s="2" t="s">
        <v>11</v>
      </c>
      <c r="E386" s="2" t="s">
        <v>12</v>
      </c>
      <c r="F386" s="2">
        <v>925.0</v>
      </c>
      <c r="G386" s="2">
        <v>5537.28</v>
      </c>
      <c r="H386" s="2">
        <v>5121982.0</v>
      </c>
      <c r="I386" s="2">
        <v>738.0</v>
      </c>
    </row>
    <row r="387" ht="15.75" customHeight="1">
      <c r="A387" s="2">
        <v>9.0</v>
      </c>
      <c r="B387" s="2" t="s">
        <v>37</v>
      </c>
      <c r="C387" s="2" t="s">
        <v>30</v>
      </c>
      <c r="D387" s="2" t="s">
        <v>11</v>
      </c>
      <c r="E387" s="2" t="s">
        <v>13</v>
      </c>
      <c r="F387" s="2">
        <v>178.0</v>
      </c>
      <c r="G387" s="2">
        <v>21310.92</v>
      </c>
      <c r="H387" s="2">
        <v>3793343.0</v>
      </c>
      <c r="I387" s="2">
        <v>166.0</v>
      </c>
    </row>
    <row r="388" ht="15.75" customHeight="1">
      <c r="A388" s="2">
        <v>9.0</v>
      </c>
      <c r="B388" s="2" t="s">
        <v>37</v>
      </c>
      <c r="C388" s="2" t="s">
        <v>30</v>
      </c>
      <c r="D388" s="2" t="s">
        <v>11</v>
      </c>
      <c r="E388" s="2" t="s">
        <v>14</v>
      </c>
      <c r="F388" s="2">
        <v>477.0</v>
      </c>
      <c r="G388" s="2">
        <v>6752.66</v>
      </c>
      <c r="H388" s="2">
        <v>3221021.0</v>
      </c>
      <c r="I388" s="2">
        <v>341.0</v>
      </c>
    </row>
    <row r="389" ht="15.75" customHeight="1">
      <c r="A389" s="2">
        <v>9.0</v>
      </c>
      <c r="B389" s="2" t="s">
        <v>37</v>
      </c>
      <c r="C389" s="2" t="s">
        <v>30</v>
      </c>
      <c r="D389" s="2" t="s">
        <v>11</v>
      </c>
      <c r="E389" s="2" t="s">
        <v>15</v>
      </c>
      <c r="F389" s="2">
        <v>1130.0</v>
      </c>
      <c r="G389" s="2">
        <v>1240.85</v>
      </c>
      <c r="H389" s="2">
        <v>1402162.0</v>
      </c>
      <c r="I389" s="2">
        <v>838.0</v>
      </c>
    </row>
    <row r="390" ht="15.75" customHeight="1">
      <c r="A390" s="2">
        <v>9.0</v>
      </c>
      <c r="B390" s="2" t="s">
        <v>37</v>
      </c>
      <c r="C390" s="2" t="s">
        <v>30</v>
      </c>
      <c r="D390" s="2" t="s">
        <v>16</v>
      </c>
      <c r="E390" s="2" t="s">
        <v>12</v>
      </c>
      <c r="F390" s="2">
        <v>1123.0</v>
      </c>
      <c r="G390" s="2">
        <v>5326.59</v>
      </c>
      <c r="H390" s="2">
        <v>5981765.0</v>
      </c>
      <c r="I390" s="2">
        <v>883.0</v>
      </c>
    </row>
    <row r="391" ht="15.75" customHeight="1">
      <c r="A391" s="2">
        <v>9.0</v>
      </c>
      <c r="B391" s="2" t="s">
        <v>37</v>
      </c>
      <c r="C391" s="2" t="s">
        <v>30</v>
      </c>
      <c r="D391" s="2" t="s">
        <v>16</v>
      </c>
      <c r="E391" s="2" t="s">
        <v>13</v>
      </c>
      <c r="F391" s="2">
        <v>219.0</v>
      </c>
      <c r="G391" s="2">
        <v>20939.9</v>
      </c>
      <c r="H391" s="2">
        <v>4585839.0</v>
      </c>
      <c r="I391" s="2">
        <v>155.0</v>
      </c>
    </row>
    <row r="392" ht="15.75" customHeight="1">
      <c r="A392" s="2">
        <v>9.0</v>
      </c>
      <c r="B392" s="2" t="s">
        <v>37</v>
      </c>
      <c r="C392" s="2" t="s">
        <v>30</v>
      </c>
      <c r="D392" s="2" t="s">
        <v>16</v>
      </c>
      <c r="E392" s="2" t="s">
        <v>14</v>
      </c>
      <c r="F392" s="2">
        <v>469.0</v>
      </c>
      <c r="G392" s="2">
        <v>6532.32</v>
      </c>
      <c r="H392" s="2">
        <v>3063660.0</v>
      </c>
      <c r="I392" s="2">
        <v>417.0</v>
      </c>
    </row>
    <row r="393" ht="15.75" customHeight="1">
      <c r="A393" s="2">
        <v>9.0</v>
      </c>
      <c r="B393" s="2" t="s">
        <v>37</v>
      </c>
      <c r="C393" s="2" t="s">
        <v>30</v>
      </c>
      <c r="D393" s="2" t="s">
        <v>16</v>
      </c>
      <c r="E393" s="2" t="s">
        <v>15</v>
      </c>
      <c r="F393" s="2">
        <v>406.0</v>
      </c>
      <c r="G393" s="2">
        <v>1237.72</v>
      </c>
      <c r="H393" s="2">
        <v>502515.0</v>
      </c>
      <c r="I393" s="2">
        <v>290.0</v>
      </c>
    </row>
    <row r="394" ht="15.75" customHeight="1">
      <c r="A394" s="2">
        <v>9.0</v>
      </c>
      <c r="B394" s="2" t="s">
        <v>37</v>
      </c>
      <c r="C394" s="2" t="s">
        <v>30</v>
      </c>
      <c r="D394" s="2" t="s">
        <v>17</v>
      </c>
      <c r="E394" s="2" t="s">
        <v>12</v>
      </c>
      <c r="F394" s="2">
        <v>632.0</v>
      </c>
      <c r="G394" s="2">
        <v>5273.79</v>
      </c>
      <c r="H394" s="2">
        <v>3333037.0</v>
      </c>
      <c r="I394" s="2">
        <v>564.0</v>
      </c>
    </row>
    <row r="395" ht="15.75" customHeight="1">
      <c r="A395" s="2">
        <v>9.0</v>
      </c>
      <c r="B395" s="2" t="s">
        <v>37</v>
      </c>
      <c r="C395" s="2" t="s">
        <v>30</v>
      </c>
      <c r="D395" s="2" t="s">
        <v>17</v>
      </c>
      <c r="E395" s="2" t="s">
        <v>13</v>
      </c>
      <c r="F395" s="2">
        <v>157.0</v>
      </c>
      <c r="G395" s="2">
        <v>19871.81</v>
      </c>
      <c r="H395" s="2">
        <v>3119874.0</v>
      </c>
      <c r="I395" s="2">
        <v>109.0</v>
      </c>
    </row>
    <row r="396" ht="15.75" customHeight="1">
      <c r="A396" s="2">
        <v>9.0</v>
      </c>
      <c r="B396" s="2" t="s">
        <v>37</v>
      </c>
      <c r="C396" s="2" t="s">
        <v>30</v>
      </c>
      <c r="D396" s="2" t="s">
        <v>17</v>
      </c>
      <c r="E396" s="2" t="s">
        <v>14</v>
      </c>
      <c r="F396" s="2">
        <v>425.0</v>
      </c>
      <c r="G396" s="2">
        <v>6331.04</v>
      </c>
      <c r="H396" s="2">
        <v>2690692.0</v>
      </c>
      <c r="I396" s="2">
        <v>381.0</v>
      </c>
    </row>
    <row r="397" ht="15.75" customHeight="1">
      <c r="A397" s="2">
        <v>9.0</v>
      </c>
      <c r="B397" s="2" t="s">
        <v>37</v>
      </c>
      <c r="C397" s="2" t="s">
        <v>30</v>
      </c>
      <c r="D397" s="2" t="s">
        <v>17</v>
      </c>
      <c r="E397" s="2" t="s">
        <v>15</v>
      </c>
      <c r="F397" s="2">
        <v>556.0</v>
      </c>
      <c r="G397" s="2">
        <v>1182.23</v>
      </c>
      <c r="H397" s="2">
        <v>657318.0</v>
      </c>
      <c r="I397" s="2">
        <v>430.0</v>
      </c>
    </row>
    <row r="398" ht="15.75" customHeight="1">
      <c r="A398" s="2">
        <v>9.0</v>
      </c>
      <c r="B398" s="2" t="s">
        <v>37</v>
      </c>
      <c r="C398" s="2" t="s">
        <v>30</v>
      </c>
      <c r="D398" s="2" t="s">
        <v>18</v>
      </c>
      <c r="E398" s="2" t="s">
        <v>12</v>
      </c>
      <c r="F398" s="2">
        <v>729.0</v>
      </c>
      <c r="G398" s="2">
        <v>5155.31</v>
      </c>
      <c r="H398" s="2">
        <v>3758223.0</v>
      </c>
      <c r="I398" s="2">
        <v>534.0</v>
      </c>
    </row>
    <row r="399" ht="15.75" customHeight="1">
      <c r="A399" s="2">
        <v>9.0</v>
      </c>
      <c r="B399" s="2" t="s">
        <v>37</v>
      </c>
      <c r="C399" s="2" t="s">
        <v>30</v>
      </c>
      <c r="D399" s="2" t="s">
        <v>18</v>
      </c>
      <c r="E399" s="2" t="s">
        <v>13</v>
      </c>
      <c r="F399" s="2">
        <v>180.0</v>
      </c>
      <c r="G399" s="2">
        <v>22084.92</v>
      </c>
      <c r="H399" s="2">
        <v>3975285.0</v>
      </c>
      <c r="I399" s="2">
        <v>169.0</v>
      </c>
    </row>
    <row r="400" ht="15.75" customHeight="1">
      <c r="A400" s="2">
        <v>9.0</v>
      </c>
      <c r="B400" s="2" t="s">
        <v>37</v>
      </c>
      <c r="C400" s="2" t="s">
        <v>30</v>
      </c>
      <c r="D400" s="2" t="s">
        <v>18</v>
      </c>
      <c r="E400" s="2" t="s">
        <v>14</v>
      </c>
      <c r="F400" s="2">
        <v>291.0</v>
      </c>
      <c r="G400" s="2">
        <v>6829.25</v>
      </c>
      <c r="H400" s="2">
        <v>1987312.0</v>
      </c>
      <c r="I400" s="2">
        <v>266.0</v>
      </c>
    </row>
    <row r="401" ht="15.75" customHeight="1">
      <c r="A401" s="2">
        <v>9.0</v>
      </c>
      <c r="B401" s="2" t="s">
        <v>37</v>
      </c>
      <c r="C401" s="2" t="s">
        <v>30</v>
      </c>
      <c r="D401" s="2" t="s">
        <v>18</v>
      </c>
      <c r="E401" s="2" t="s">
        <v>15</v>
      </c>
      <c r="F401" s="2">
        <v>483.0</v>
      </c>
      <c r="G401" s="2">
        <v>1224.33</v>
      </c>
      <c r="H401" s="2">
        <v>591352.0</v>
      </c>
      <c r="I401" s="2">
        <v>386.0</v>
      </c>
    </row>
    <row r="402" ht="15.75" customHeight="1">
      <c r="A402" s="2">
        <v>9.0</v>
      </c>
      <c r="B402" s="2" t="s">
        <v>37</v>
      </c>
      <c r="C402" s="2" t="s">
        <v>30</v>
      </c>
      <c r="D402" s="2" t="s">
        <v>19</v>
      </c>
      <c r="E402" s="2" t="s">
        <v>12</v>
      </c>
      <c r="F402" s="2">
        <v>1052.0</v>
      </c>
      <c r="G402" s="2">
        <v>5290.88</v>
      </c>
      <c r="H402" s="2">
        <v>5566009.0</v>
      </c>
      <c r="I402" s="2">
        <v>971.0</v>
      </c>
    </row>
    <row r="403" ht="15.75" customHeight="1">
      <c r="A403" s="2">
        <v>9.0</v>
      </c>
      <c r="B403" s="2" t="s">
        <v>37</v>
      </c>
      <c r="C403" s="2" t="s">
        <v>30</v>
      </c>
      <c r="D403" s="2" t="s">
        <v>19</v>
      </c>
      <c r="E403" s="2" t="s">
        <v>13</v>
      </c>
      <c r="F403" s="2">
        <v>114.0</v>
      </c>
      <c r="G403" s="2">
        <v>21694.67</v>
      </c>
      <c r="H403" s="2">
        <v>2473193.0</v>
      </c>
      <c r="I403" s="2">
        <v>101.0</v>
      </c>
    </row>
    <row r="404" ht="15.75" customHeight="1">
      <c r="A404" s="2">
        <v>9.0</v>
      </c>
      <c r="B404" s="2" t="s">
        <v>37</v>
      </c>
      <c r="C404" s="2" t="s">
        <v>30</v>
      </c>
      <c r="D404" s="2" t="s">
        <v>19</v>
      </c>
      <c r="E404" s="2" t="s">
        <v>14</v>
      </c>
      <c r="F404" s="2">
        <v>362.0</v>
      </c>
      <c r="G404" s="2">
        <v>6722.26</v>
      </c>
      <c r="H404" s="2">
        <v>2433459.0</v>
      </c>
      <c r="I404" s="2">
        <v>286.0</v>
      </c>
    </row>
    <row r="405" ht="15.75" customHeight="1">
      <c r="A405" s="2">
        <v>9.0</v>
      </c>
      <c r="B405" s="2" t="s">
        <v>37</v>
      </c>
      <c r="C405" s="2" t="s">
        <v>30</v>
      </c>
      <c r="D405" s="2" t="s">
        <v>19</v>
      </c>
      <c r="E405" s="2" t="s">
        <v>15</v>
      </c>
      <c r="F405" s="2">
        <v>670.0</v>
      </c>
      <c r="G405" s="2">
        <v>1177.06</v>
      </c>
      <c r="H405" s="2">
        <v>788630.0</v>
      </c>
      <c r="I405" s="2">
        <v>547.0</v>
      </c>
    </row>
    <row r="406" ht="15.75" customHeight="1">
      <c r="A406" s="2">
        <v>9.0</v>
      </c>
      <c r="B406" s="2" t="s">
        <v>37</v>
      </c>
      <c r="C406" s="2" t="s">
        <v>30</v>
      </c>
      <c r="D406" s="2" t="s">
        <v>20</v>
      </c>
      <c r="E406" s="2" t="s">
        <v>12</v>
      </c>
      <c r="F406" s="2">
        <v>1138.0</v>
      </c>
      <c r="G406" s="2">
        <v>5368.55</v>
      </c>
      <c r="H406" s="2">
        <v>6109404.0</v>
      </c>
      <c r="I406" s="2">
        <v>1015.0</v>
      </c>
    </row>
    <row r="407" ht="15.75" customHeight="1">
      <c r="A407" s="2">
        <v>9.0</v>
      </c>
      <c r="B407" s="2" t="s">
        <v>37</v>
      </c>
      <c r="C407" s="2" t="s">
        <v>30</v>
      </c>
      <c r="D407" s="2" t="s">
        <v>20</v>
      </c>
      <c r="E407" s="2" t="s">
        <v>13</v>
      </c>
      <c r="F407" s="2">
        <v>149.0</v>
      </c>
      <c r="G407" s="2">
        <v>21865.4</v>
      </c>
      <c r="H407" s="2">
        <v>3257945.0</v>
      </c>
      <c r="I407" s="2">
        <v>132.0</v>
      </c>
    </row>
    <row r="408" ht="15.75" customHeight="1">
      <c r="A408" s="2">
        <v>9.0</v>
      </c>
      <c r="B408" s="2" t="s">
        <v>37</v>
      </c>
      <c r="C408" s="2" t="s">
        <v>30</v>
      </c>
      <c r="D408" s="2" t="s">
        <v>20</v>
      </c>
      <c r="E408" s="2" t="s">
        <v>14</v>
      </c>
      <c r="F408" s="2">
        <v>380.0</v>
      </c>
      <c r="G408" s="2">
        <v>6651.51</v>
      </c>
      <c r="H408" s="2">
        <v>2527575.0</v>
      </c>
      <c r="I408" s="2">
        <v>266.0</v>
      </c>
    </row>
    <row r="409" ht="15.75" customHeight="1">
      <c r="A409" s="2">
        <v>9.0</v>
      </c>
      <c r="B409" s="2" t="s">
        <v>37</v>
      </c>
      <c r="C409" s="2" t="s">
        <v>30</v>
      </c>
      <c r="D409" s="2" t="s">
        <v>20</v>
      </c>
      <c r="E409" s="2" t="s">
        <v>15</v>
      </c>
      <c r="F409" s="2">
        <v>854.0</v>
      </c>
      <c r="G409" s="2">
        <v>1065.87</v>
      </c>
      <c r="H409" s="2">
        <v>910255.0</v>
      </c>
      <c r="I409" s="2">
        <v>624.0</v>
      </c>
    </row>
    <row r="410" ht="15.75" customHeight="1">
      <c r="A410" s="2">
        <v>9.0</v>
      </c>
      <c r="B410" s="2" t="s">
        <v>37</v>
      </c>
      <c r="C410" s="2" t="s">
        <v>30</v>
      </c>
      <c r="D410" s="2" t="s">
        <v>21</v>
      </c>
      <c r="E410" s="2" t="s">
        <v>12</v>
      </c>
      <c r="F410" s="2">
        <v>835.0</v>
      </c>
      <c r="G410" s="2">
        <v>5373.1</v>
      </c>
      <c r="H410" s="2">
        <v>4486540.0</v>
      </c>
      <c r="I410" s="2">
        <v>631.0</v>
      </c>
    </row>
    <row r="411" ht="15.75" customHeight="1">
      <c r="A411" s="2">
        <v>9.0</v>
      </c>
      <c r="B411" s="2" t="s">
        <v>37</v>
      </c>
      <c r="C411" s="2" t="s">
        <v>30</v>
      </c>
      <c r="D411" s="2" t="s">
        <v>21</v>
      </c>
      <c r="E411" s="2" t="s">
        <v>13</v>
      </c>
      <c r="F411" s="2">
        <v>162.0</v>
      </c>
      <c r="G411" s="2">
        <v>20236.22</v>
      </c>
      <c r="H411" s="2">
        <v>3278268.0</v>
      </c>
      <c r="I411" s="2">
        <v>139.0</v>
      </c>
    </row>
    <row r="412" ht="15.75" customHeight="1">
      <c r="A412" s="2">
        <v>9.0</v>
      </c>
      <c r="B412" s="2" t="s">
        <v>37</v>
      </c>
      <c r="C412" s="2" t="s">
        <v>30</v>
      </c>
      <c r="D412" s="2" t="s">
        <v>21</v>
      </c>
      <c r="E412" s="2" t="s">
        <v>14</v>
      </c>
      <c r="F412" s="2">
        <v>316.0</v>
      </c>
      <c r="G412" s="2">
        <v>6263.97</v>
      </c>
      <c r="H412" s="2">
        <v>1979415.0</v>
      </c>
      <c r="I412" s="2">
        <v>298.0</v>
      </c>
    </row>
    <row r="413" ht="15.75" customHeight="1">
      <c r="A413" s="2">
        <v>9.0</v>
      </c>
      <c r="B413" s="2" t="s">
        <v>37</v>
      </c>
      <c r="C413" s="2" t="s">
        <v>30</v>
      </c>
      <c r="D413" s="2" t="s">
        <v>21</v>
      </c>
      <c r="E413" s="2" t="s">
        <v>15</v>
      </c>
      <c r="F413" s="2">
        <v>1120.0</v>
      </c>
      <c r="G413" s="2">
        <v>1396.53</v>
      </c>
      <c r="H413" s="2">
        <v>1564117.0</v>
      </c>
      <c r="I413" s="2">
        <v>787.0</v>
      </c>
    </row>
    <row r="414" ht="15.75" customHeight="1">
      <c r="A414" s="2">
        <v>9.0</v>
      </c>
      <c r="B414" s="2" t="s">
        <v>37</v>
      </c>
      <c r="C414" s="2" t="s">
        <v>30</v>
      </c>
      <c r="D414" s="2" t="s">
        <v>22</v>
      </c>
      <c r="E414" s="2" t="s">
        <v>12</v>
      </c>
      <c r="F414" s="2">
        <v>873.0</v>
      </c>
      <c r="G414" s="2">
        <v>5112.6</v>
      </c>
      <c r="H414" s="2">
        <v>4463296.0</v>
      </c>
      <c r="I414" s="2">
        <v>823.0</v>
      </c>
    </row>
    <row r="415" ht="15.75" customHeight="1">
      <c r="A415" s="2">
        <v>9.0</v>
      </c>
      <c r="B415" s="2" t="s">
        <v>37</v>
      </c>
      <c r="C415" s="2" t="s">
        <v>30</v>
      </c>
      <c r="D415" s="2" t="s">
        <v>22</v>
      </c>
      <c r="E415" s="2" t="s">
        <v>13</v>
      </c>
      <c r="F415" s="2">
        <v>131.0</v>
      </c>
      <c r="G415" s="2">
        <v>22795.04</v>
      </c>
      <c r="H415" s="2">
        <v>2986150.0</v>
      </c>
      <c r="I415" s="2">
        <v>113.0</v>
      </c>
    </row>
    <row r="416" ht="15.75" customHeight="1">
      <c r="A416" s="2">
        <v>9.0</v>
      </c>
      <c r="B416" s="2" t="s">
        <v>37</v>
      </c>
      <c r="C416" s="2" t="s">
        <v>30</v>
      </c>
      <c r="D416" s="2" t="s">
        <v>22</v>
      </c>
      <c r="E416" s="2" t="s">
        <v>14</v>
      </c>
      <c r="F416" s="2">
        <v>416.0</v>
      </c>
      <c r="G416" s="2">
        <v>6811.64</v>
      </c>
      <c r="H416" s="2">
        <v>2833642.0</v>
      </c>
      <c r="I416" s="2">
        <v>295.0</v>
      </c>
    </row>
    <row r="417" ht="15.75" customHeight="1">
      <c r="A417" s="2">
        <v>9.0</v>
      </c>
      <c r="B417" s="2" t="s">
        <v>37</v>
      </c>
      <c r="C417" s="2" t="s">
        <v>30</v>
      </c>
      <c r="D417" s="2" t="s">
        <v>22</v>
      </c>
      <c r="E417" s="2" t="s">
        <v>15</v>
      </c>
      <c r="F417" s="2">
        <v>613.0</v>
      </c>
      <c r="G417" s="2">
        <v>1247.89</v>
      </c>
      <c r="H417" s="2">
        <v>764955.0</v>
      </c>
      <c r="I417" s="2">
        <v>543.0</v>
      </c>
    </row>
    <row r="418" ht="15.75" customHeight="1">
      <c r="A418" s="2">
        <v>9.0</v>
      </c>
      <c r="B418" s="2" t="s">
        <v>37</v>
      </c>
      <c r="C418" s="2" t="s">
        <v>30</v>
      </c>
      <c r="D418" s="2" t="s">
        <v>23</v>
      </c>
      <c r="E418" s="2" t="s">
        <v>12</v>
      </c>
      <c r="F418" s="2">
        <v>1152.0</v>
      </c>
      <c r="G418" s="2">
        <v>5299.28</v>
      </c>
      <c r="H418" s="2">
        <v>6104770.0</v>
      </c>
      <c r="I418" s="2">
        <v>984.0</v>
      </c>
    </row>
    <row r="419" ht="15.75" customHeight="1">
      <c r="A419" s="2">
        <v>9.0</v>
      </c>
      <c r="B419" s="2" t="s">
        <v>37</v>
      </c>
      <c r="C419" s="2" t="s">
        <v>30</v>
      </c>
      <c r="D419" s="2" t="s">
        <v>23</v>
      </c>
      <c r="E419" s="2" t="s">
        <v>13</v>
      </c>
      <c r="F419" s="2">
        <v>247.0</v>
      </c>
      <c r="G419" s="2">
        <v>20573.31</v>
      </c>
      <c r="H419" s="2">
        <v>5081607.0</v>
      </c>
      <c r="I419" s="2">
        <v>194.0</v>
      </c>
    </row>
    <row r="420" ht="15.75" customHeight="1">
      <c r="A420" s="2">
        <v>9.0</v>
      </c>
      <c r="B420" s="2" t="s">
        <v>37</v>
      </c>
      <c r="C420" s="2" t="s">
        <v>30</v>
      </c>
      <c r="D420" s="2" t="s">
        <v>23</v>
      </c>
      <c r="E420" s="2" t="s">
        <v>14</v>
      </c>
      <c r="F420" s="2">
        <v>441.0</v>
      </c>
      <c r="G420" s="2">
        <v>6762.51</v>
      </c>
      <c r="H420" s="2">
        <v>2982269.0</v>
      </c>
      <c r="I420" s="2">
        <v>318.0</v>
      </c>
    </row>
    <row r="421" ht="15.75" customHeight="1">
      <c r="A421" s="2">
        <v>9.0</v>
      </c>
      <c r="B421" s="2" t="s">
        <v>37</v>
      </c>
      <c r="C421" s="2" t="s">
        <v>30</v>
      </c>
      <c r="D421" s="2" t="s">
        <v>23</v>
      </c>
      <c r="E421" s="2" t="s">
        <v>15</v>
      </c>
      <c r="F421" s="2">
        <v>988.0</v>
      </c>
      <c r="G421" s="2">
        <v>995.83</v>
      </c>
      <c r="H421" s="2">
        <v>983877.0</v>
      </c>
      <c r="I421" s="2">
        <v>711.0</v>
      </c>
    </row>
    <row r="422" ht="15.75" customHeight="1">
      <c r="A422" s="2">
        <v>9.0</v>
      </c>
      <c r="B422" s="2" t="s">
        <v>37</v>
      </c>
      <c r="C422" s="2" t="s">
        <v>30</v>
      </c>
      <c r="D422" s="2" t="s">
        <v>24</v>
      </c>
      <c r="E422" s="2" t="s">
        <v>12</v>
      </c>
      <c r="F422" s="2">
        <v>702.0</v>
      </c>
      <c r="G422" s="2">
        <v>5339.08</v>
      </c>
      <c r="H422" s="2">
        <v>3748036.0</v>
      </c>
      <c r="I422" s="2">
        <v>612.0</v>
      </c>
    </row>
    <row r="423" ht="15.75" customHeight="1">
      <c r="A423" s="2">
        <v>9.0</v>
      </c>
      <c r="B423" s="2" t="s">
        <v>37</v>
      </c>
      <c r="C423" s="2" t="s">
        <v>30</v>
      </c>
      <c r="D423" s="2" t="s">
        <v>24</v>
      </c>
      <c r="E423" s="2" t="s">
        <v>13</v>
      </c>
      <c r="F423" s="2">
        <v>242.0</v>
      </c>
      <c r="G423" s="2">
        <v>20649.89</v>
      </c>
      <c r="H423" s="2">
        <v>4997274.0</v>
      </c>
      <c r="I423" s="2">
        <v>181.0</v>
      </c>
    </row>
    <row r="424" ht="15.75" customHeight="1">
      <c r="A424" s="2">
        <v>9.0</v>
      </c>
      <c r="B424" s="2" t="s">
        <v>37</v>
      </c>
      <c r="C424" s="2" t="s">
        <v>30</v>
      </c>
      <c r="D424" s="2" t="s">
        <v>24</v>
      </c>
      <c r="E424" s="2" t="s">
        <v>14</v>
      </c>
      <c r="F424" s="2">
        <v>322.0</v>
      </c>
      <c r="G424" s="2">
        <v>6717.89</v>
      </c>
      <c r="H424" s="2">
        <v>2163160.0</v>
      </c>
      <c r="I424" s="2">
        <v>282.0</v>
      </c>
    </row>
    <row r="425" ht="15.75" customHeight="1">
      <c r="A425" s="2">
        <v>9.0</v>
      </c>
      <c r="B425" s="2" t="s">
        <v>37</v>
      </c>
      <c r="C425" s="2" t="s">
        <v>30</v>
      </c>
      <c r="D425" s="2" t="s">
        <v>24</v>
      </c>
      <c r="E425" s="2" t="s">
        <v>15</v>
      </c>
      <c r="F425" s="2">
        <v>663.0</v>
      </c>
      <c r="G425" s="2">
        <v>1135.31</v>
      </c>
      <c r="H425" s="2">
        <v>752708.0</v>
      </c>
      <c r="I425" s="2">
        <v>621.0</v>
      </c>
    </row>
    <row r="426" ht="15.75" customHeight="1">
      <c r="A426" s="2">
        <v>9.0</v>
      </c>
      <c r="B426" s="2" t="s">
        <v>37</v>
      </c>
      <c r="C426" s="2" t="s">
        <v>30</v>
      </c>
      <c r="D426" s="2" t="s">
        <v>25</v>
      </c>
      <c r="E426" s="2" t="s">
        <v>12</v>
      </c>
      <c r="F426" s="2">
        <v>917.0</v>
      </c>
      <c r="G426" s="2">
        <v>5403.61</v>
      </c>
      <c r="H426" s="2">
        <v>4955113.0</v>
      </c>
      <c r="I426" s="2">
        <v>752.0</v>
      </c>
    </row>
    <row r="427" ht="15.75" customHeight="1">
      <c r="A427" s="2">
        <v>9.0</v>
      </c>
      <c r="B427" s="2" t="s">
        <v>37</v>
      </c>
      <c r="C427" s="2" t="s">
        <v>30</v>
      </c>
      <c r="D427" s="2" t="s">
        <v>25</v>
      </c>
      <c r="E427" s="2" t="s">
        <v>13</v>
      </c>
      <c r="F427" s="2">
        <v>183.0</v>
      </c>
      <c r="G427" s="2">
        <v>22546.39</v>
      </c>
      <c r="H427" s="2">
        <v>4125989.0</v>
      </c>
      <c r="I427" s="2">
        <v>153.0</v>
      </c>
    </row>
    <row r="428" ht="15.75" customHeight="1">
      <c r="A428" s="2">
        <v>9.0</v>
      </c>
      <c r="B428" s="2" t="s">
        <v>37</v>
      </c>
      <c r="C428" s="2" t="s">
        <v>30</v>
      </c>
      <c r="D428" s="2" t="s">
        <v>25</v>
      </c>
      <c r="E428" s="2" t="s">
        <v>14</v>
      </c>
      <c r="F428" s="2">
        <v>221.0</v>
      </c>
      <c r="G428" s="2">
        <v>7322.58</v>
      </c>
      <c r="H428" s="2">
        <v>1618290.0</v>
      </c>
      <c r="I428" s="2">
        <v>183.0</v>
      </c>
    </row>
    <row r="429" ht="15.75" customHeight="1">
      <c r="A429" s="2">
        <v>9.0</v>
      </c>
      <c r="B429" s="2" t="s">
        <v>37</v>
      </c>
      <c r="C429" s="2" t="s">
        <v>30</v>
      </c>
      <c r="D429" s="2" t="s">
        <v>25</v>
      </c>
      <c r="E429" s="2" t="s">
        <v>15</v>
      </c>
      <c r="F429" s="2">
        <v>413.0</v>
      </c>
      <c r="G429" s="2">
        <v>1131.08</v>
      </c>
      <c r="H429" s="2">
        <v>467137.0</v>
      </c>
      <c r="I429" s="2">
        <v>297.0</v>
      </c>
    </row>
    <row r="430" ht="15.75" customHeight="1">
      <c r="A430" s="2">
        <v>9.0</v>
      </c>
      <c r="B430" s="2" t="s">
        <v>37</v>
      </c>
      <c r="C430" s="2" t="s">
        <v>30</v>
      </c>
      <c r="D430" s="2" t="s">
        <v>26</v>
      </c>
      <c r="E430" s="2" t="s">
        <v>12</v>
      </c>
      <c r="F430" s="2">
        <v>611.0</v>
      </c>
      <c r="G430" s="2">
        <v>5169.72</v>
      </c>
      <c r="H430" s="2">
        <v>3158697.0</v>
      </c>
      <c r="I430" s="2">
        <v>560.0</v>
      </c>
    </row>
    <row r="431" ht="15.75" customHeight="1">
      <c r="A431" s="2">
        <v>9.0</v>
      </c>
      <c r="B431" s="2" t="s">
        <v>37</v>
      </c>
      <c r="C431" s="2" t="s">
        <v>30</v>
      </c>
      <c r="D431" s="2" t="s">
        <v>26</v>
      </c>
      <c r="E431" s="2" t="s">
        <v>13</v>
      </c>
      <c r="F431" s="2">
        <v>221.0</v>
      </c>
      <c r="G431" s="2">
        <v>21112.89</v>
      </c>
      <c r="H431" s="2">
        <v>4665949.0</v>
      </c>
      <c r="I431" s="2">
        <v>172.0</v>
      </c>
    </row>
    <row r="432" ht="15.75" customHeight="1">
      <c r="A432" s="2">
        <v>9.0</v>
      </c>
      <c r="B432" s="2" t="s">
        <v>37</v>
      </c>
      <c r="C432" s="2" t="s">
        <v>30</v>
      </c>
      <c r="D432" s="2" t="s">
        <v>26</v>
      </c>
      <c r="E432" s="2" t="s">
        <v>14</v>
      </c>
      <c r="F432" s="2">
        <v>437.0</v>
      </c>
      <c r="G432" s="2">
        <v>6390.53</v>
      </c>
      <c r="H432" s="2">
        <v>2792660.0</v>
      </c>
      <c r="I432" s="2">
        <v>392.0</v>
      </c>
    </row>
    <row r="433" ht="15.75" customHeight="1">
      <c r="A433" s="2">
        <v>9.0</v>
      </c>
      <c r="B433" s="2" t="s">
        <v>37</v>
      </c>
      <c r="C433" s="2" t="s">
        <v>30</v>
      </c>
      <c r="D433" s="2" t="s">
        <v>26</v>
      </c>
      <c r="E433" s="2" t="s">
        <v>15</v>
      </c>
      <c r="F433" s="2">
        <v>1094.0</v>
      </c>
      <c r="G433" s="2">
        <v>1147.07</v>
      </c>
      <c r="H433" s="2">
        <v>1254895.0</v>
      </c>
      <c r="I433" s="2">
        <v>777.0</v>
      </c>
    </row>
    <row r="434" ht="15.75" customHeight="1">
      <c r="A434" s="2">
        <v>10.0</v>
      </c>
      <c r="B434" s="2" t="s">
        <v>38</v>
      </c>
      <c r="C434" s="2" t="s">
        <v>28</v>
      </c>
      <c r="D434" s="2" t="s">
        <v>11</v>
      </c>
      <c r="E434" s="2" t="s">
        <v>12</v>
      </c>
      <c r="F434" s="2">
        <v>1193.0</v>
      </c>
      <c r="G434" s="2">
        <v>5401.2</v>
      </c>
      <c r="H434" s="2">
        <v>6443629.0</v>
      </c>
      <c r="I434" s="2">
        <v>982.0</v>
      </c>
    </row>
    <row r="435" ht="15.75" customHeight="1">
      <c r="A435" s="2">
        <v>10.0</v>
      </c>
      <c r="B435" s="2" t="s">
        <v>38</v>
      </c>
      <c r="C435" s="2" t="s">
        <v>28</v>
      </c>
      <c r="D435" s="2" t="s">
        <v>11</v>
      </c>
      <c r="E435" s="2" t="s">
        <v>13</v>
      </c>
      <c r="F435" s="2">
        <v>134.0</v>
      </c>
      <c r="G435" s="2">
        <v>19902.07</v>
      </c>
      <c r="H435" s="2">
        <v>2666878.0</v>
      </c>
      <c r="I435" s="2">
        <v>101.0</v>
      </c>
    </row>
    <row r="436" ht="15.75" customHeight="1">
      <c r="A436" s="2">
        <v>10.0</v>
      </c>
      <c r="B436" s="2" t="s">
        <v>38</v>
      </c>
      <c r="C436" s="2" t="s">
        <v>28</v>
      </c>
      <c r="D436" s="2" t="s">
        <v>11</v>
      </c>
      <c r="E436" s="2" t="s">
        <v>14</v>
      </c>
      <c r="F436" s="2">
        <v>406.0</v>
      </c>
      <c r="G436" s="2">
        <v>6622.79</v>
      </c>
      <c r="H436" s="2">
        <v>2688852.0</v>
      </c>
      <c r="I436" s="2">
        <v>372.0</v>
      </c>
    </row>
    <row r="437" ht="15.75" customHeight="1">
      <c r="A437" s="2">
        <v>10.0</v>
      </c>
      <c r="B437" s="2" t="s">
        <v>38</v>
      </c>
      <c r="C437" s="2" t="s">
        <v>28</v>
      </c>
      <c r="D437" s="2" t="s">
        <v>11</v>
      </c>
      <c r="E437" s="2" t="s">
        <v>15</v>
      </c>
      <c r="F437" s="2">
        <v>558.0</v>
      </c>
      <c r="G437" s="2">
        <v>1033.14</v>
      </c>
      <c r="H437" s="2">
        <v>576493.0</v>
      </c>
      <c r="I437" s="2">
        <v>448.0</v>
      </c>
    </row>
    <row r="438" ht="15.75" customHeight="1">
      <c r="A438" s="2">
        <v>10.0</v>
      </c>
      <c r="B438" s="2" t="s">
        <v>38</v>
      </c>
      <c r="C438" s="2" t="s">
        <v>28</v>
      </c>
      <c r="D438" s="2" t="s">
        <v>16</v>
      </c>
      <c r="E438" s="2" t="s">
        <v>12</v>
      </c>
      <c r="F438" s="2">
        <v>623.0</v>
      </c>
      <c r="G438" s="2">
        <v>4927.13</v>
      </c>
      <c r="H438" s="2">
        <v>3069604.0</v>
      </c>
      <c r="I438" s="2">
        <v>493.0</v>
      </c>
    </row>
    <row r="439" ht="15.75" customHeight="1">
      <c r="A439" s="2">
        <v>10.0</v>
      </c>
      <c r="B439" s="2" t="s">
        <v>38</v>
      </c>
      <c r="C439" s="2" t="s">
        <v>28</v>
      </c>
      <c r="D439" s="2" t="s">
        <v>16</v>
      </c>
      <c r="E439" s="2" t="s">
        <v>13</v>
      </c>
      <c r="F439" s="2">
        <v>119.0</v>
      </c>
      <c r="G439" s="2">
        <v>20778.72</v>
      </c>
      <c r="H439" s="2">
        <v>2472668.0</v>
      </c>
      <c r="I439" s="2">
        <v>98.0</v>
      </c>
    </row>
    <row r="440" ht="15.75" customHeight="1">
      <c r="A440" s="2">
        <v>10.0</v>
      </c>
      <c r="B440" s="2" t="s">
        <v>38</v>
      </c>
      <c r="C440" s="2" t="s">
        <v>28</v>
      </c>
      <c r="D440" s="2" t="s">
        <v>16</v>
      </c>
      <c r="E440" s="2" t="s">
        <v>14</v>
      </c>
      <c r="F440" s="2">
        <v>249.0</v>
      </c>
      <c r="G440" s="2">
        <v>6767.34</v>
      </c>
      <c r="H440" s="2">
        <v>1685067.0</v>
      </c>
      <c r="I440" s="2">
        <v>201.0</v>
      </c>
    </row>
    <row r="441" ht="15.75" customHeight="1">
      <c r="A441" s="2">
        <v>10.0</v>
      </c>
      <c r="B441" s="2" t="s">
        <v>38</v>
      </c>
      <c r="C441" s="2" t="s">
        <v>28</v>
      </c>
      <c r="D441" s="2" t="s">
        <v>16</v>
      </c>
      <c r="E441" s="2" t="s">
        <v>15</v>
      </c>
      <c r="F441" s="2">
        <v>516.0</v>
      </c>
      <c r="G441" s="2">
        <v>1304.71</v>
      </c>
      <c r="H441" s="2">
        <v>673230.0</v>
      </c>
      <c r="I441" s="2">
        <v>412.0</v>
      </c>
    </row>
    <row r="442" ht="15.75" customHeight="1">
      <c r="A442" s="2">
        <v>10.0</v>
      </c>
      <c r="B442" s="2" t="s">
        <v>38</v>
      </c>
      <c r="C442" s="2" t="s">
        <v>28</v>
      </c>
      <c r="D442" s="2" t="s">
        <v>17</v>
      </c>
      <c r="E442" s="2" t="s">
        <v>12</v>
      </c>
      <c r="F442" s="2">
        <v>1177.0</v>
      </c>
      <c r="G442" s="2">
        <v>5563.39</v>
      </c>
      <c r="H442" s="2">
        <v>6548109.0</v>
      </c>
      <c r="I442" s="2">
        <v>1016.0</v>
      </c>
    </row>
    <row r="443" ht="15.75" customHeight="1">
      <c r="A443" s="2">
        <v>10.0</v>
      </c>
      <c r="B443" s="2" t="s">
        <v>38</v>
      </c>
      <c r="C443" s="2" t="s">
        <v>28</v>
      </c>
      <c r="D443" s="2" t="s">
        <v>17</v>
      </c>
      <c r="E443" s="2" t="s">
        <v>13</v>
      </c>
      <c r="F443" s="2">
        <v>214.0</v>
      </c>
      <c r="G443" s="2">
        <v>21851.44</v>
      </c>
      <c r="H443" s="2">
        <v>4676209.0</v>
      </c>
      <c r="I443" s="2">
        <v>164.0</v>
      </c>
    </row>
    <row r="444" ht="15.75" customHeight="1">
      <c r="A444" s="2">
        <v>10.0</v>
      </c>
      <c r="B444" s="2" t="s">
        <v>38</v>
      </c>
      <c r="C444" s="2" t="s">
        <v>28</v>
      </c>
      <c r="D444" s="2" t="s">
        <v>17</v>
      </c>
      <c r="E444" s="2" t="s">
        <v>14</v>
      </c>
      <c r="F444" s="2">
        <v>324.0</v>
      </c>
      <c r="G444" s="2">
        <v>6859.86</v>
      </c>
      <c r="H444" s="2">
        <v>2222594.0</v>
      </c>
      <c r="I444" s="2">
        <v>277.0</v>
      </c>
    </row>
    <row r="445" ht="15.75" customHeight="1">
      <c r="A445" s="2">
        <v>10.0</v>
      </c>
      <c r="B445" s="2" t="s">
        <v>38</v>
      </c>
      <c r="C445" s="2" t="s">
        <v>28</v>
      </c>
      <c r="D445" s="2" t="s">
        <v>17</v>
      </c>
      <c r="E445" s="2" t="s">
        <v>15</v>
      </c>
      <c r="F445" s="2">
        <v>1136.0</v>
      </c>
      <c r="G445" s="2">
        <v>1074.62</v>
      </c>
      <c r="H445" s="2">
        <v>1220767.0</v>
      </c>
      <c r="I445" s="2">
        <v>832.0</v>
      </c>
    </row>
    <row r="446" ht="15.75" customHeight="1">
      <c r="A446" s="2">
        <v>10.0</v>
      </c>
      <c r="B446" s="2" t="s">
        <v>38</v>
      </c>
      <c r="C446" s="2" t="s">
        <v>28</v>
      </c>
      <c r="D446" s="2" t="s">
        <v>18</v>
      </c>
      <c r="E446" s="2" t="s">
        <v>12</v>
      </c>
      <c r="F446" s="2">
        <v>1119.0</v>
      </c>
      <c r="G446" s="2">
        <v>5631.4</v>
      </c>
      <c r="H446" s="2">
        <v>6301534.0</v>
      </c>
      <c r="I446" s="2">
        <v>960.0</v>
      </c>
    </row>
    <row r="447" ht="15.75" customHeight="1">
      <c r="A447" s="2">
        <v>10.0</v>
      </c>
      <c r="B447" s="2" t="s">
        <v>38</v>
      </c>
      <c r="C447" s="2" t="s">
        <v>28</v>
      </c>
      <c r="D447" s="2" t="s">
        <v>18</v>
      </c>
      <c r="E447" s="2" t="s">
        <v>13</v>
      </c>
      <c r="F447" s="2">
        <v>113.0</v>
      </c>
      <c r="G447" s="2">
        <v>20267.67</v>
      </c>
      <c r="H447" s="2">
        <v>2290246.0</v>
      </c>
      <c r="I447" s="2">
        <v>106.0</v>
      </c>
    </row>
    <row r="448" ht="15.75" customHeight="1">
      <c r="A448" s="2">
        <v>10.0</v>
      </c>
      <c r="B448" s="2" t="s">
        <v>38</v>
      </c>
      <c r="C448" s="2" t="s">
        <v>28</v>
      </c>
      <c r="D448" s="2" t="s">
        <v>18</v>
      </c>
      <c r="E448" s="2" t="s">
        <v>14</v>
      </c>
      <c r="F448" s="2">
        <v>492.0</v>
      </c>
      <c r="G448" s="2">
        <v>6692.33</v>
      </c>
      <c r="H448" s="2">
        <v>3292628.0</v>
      </c>
      <c r="I448" s="2">
        <v>374.0</v>
      </c>
    </row>
    <row r="449" ht="15.75" customHeight="1">
      <c r="A449" s="2">
        <v>10.0</v>
      </c>
      <c r="B449" s="2" t="s">
        <v>38</v>
      </c>
      <c r="C449" s="2" t="s">
        <v>28</v>
      </c>
      <c r="D449" s="2" t="s">
        <v>18</v>
      </c>
      <c r="E449" s="2" t="s">
        <v>15</v>
      </c>
      <c r="F449" s="2">
        <v>780.0</v>
      </c>
      <c r="G449" s="2">
        <v>1317.27</v>
      </c>
      <c r="H449" s="2">
        <v>1027473.0</v>
      </c>
      <c r="I449" s="2">
        <v>632.0</v>
      </c>
    </row>
    <row r="450" ht="15.75" customHeight="1">
      <c r="A450" s="2">
        <v>10.0</v>
      </c>
      <c r="B450" s="2" t="s">
        <v>38</v>
      </c>
      <c r="C450" s="2" t="s">
        <v>28</v>
      </c>
      <c r="D450" s="2" t="s">
        <v>19</v>
      </c>
      <c r="E450" s="2" t="s">
        <v>12</v>
      </c>
      <c r="F450" s="2">
        <v>1103.0</v>
      </c>
      <c r="G450" s="2">
        <v>5662.34</v>
      </c>
      <c r="H450" s="2">
        <v>6245559.0</v>
      </c>
      <c r="I450" s="2">
        <v>798.0</v>
      </c>
    </row>
    <row r="451" ht="15.75" customHeight="1">
      <c r="A451" s="2">
        <v>10.0</v>
      </c>
      <c r="B451" s="2" t="s">
        <v>38</v>
      </c>
      <c r="C451" s="2" t="s">
        <v>28</v>
      </c>
      <c r="D451" s="2" t="s">
        <v>19</v>
      </c>
      <c r="E451" s="2" t="s">
        <v>13</v>
      </c>
      <c r="F451" s="2">
        <v>244.0</v>
      </c>
      <c r="G451" s="2">
        <v>22207.78</v>
      </c>
      <c r="H451" s="2">
        <v>5418699.0</v>
      </c>
      <c r="I451" s="2">
        <v>194.0</v>
      </c>
    </row>
    <row r="452" ht="15.75" customHeight="1">
      <c r="A452" s="2">
        <v>10.0</v>
      </c>
      <c r="B452" s="2" t="s">
        <v>38</v>
      </c>
      <c r="C452" s="2" t="s">
        <v>28</v>
      </c>
      <c r="D452" s="2" t="s">
        <v>19</v>
      </c>
      <c r="E452" s="2" t="s">
        <v>14</v>
      </c>
      <c r="F452" s="2">
        <v>227.0</v>
      </c>
      <c r="G452" s="2">
        <v>6942.19</v>
      </c>
      <c r="H452" s="2">
        <v>1575877.0</v>
      </c>
      <c r="I452" s="2">
        <v>177.0</v>
      </c>
    </row>
    <row r="453" ht="15.75" customHeight="1">
      <c r="A453" s="2">
        <v>10.0</v>
      </c>
      <c r="B453" s="2" t="s">
        <v>38</v>
      </c>
      <c r="C453" s="2" t="s">
        <v>28</v>
      </c>
      <c r="D453" s="2" t="s">
        <v>19</v>
      </c>
      <c r="E453" s="2" t="s">
        <v>15</v>
      </c>
      <c r="F453" s="2">
        <v>823.0</v>
      </c>
      <c r="G453" s="2">
        <v>1075.42</v>
      </c>
      <c r="H453" s="2">
        <v>885073.0</v>
      </c>
      <c r="I453" s="2">
        <v>699.0</v>
      </c>
    </row>
    <row r="454" ht="15.75" customHeight="1">
      <c r="A454" s="2">
        <v>10.0</v>
      </c>
      <c r="B454" s="2" t="s">
        <v>38</v>
      </c>
      <c r="C454" s="2" t="s">
        <v>28</v>
      </c>
      <c r="D454" s="2" t="s">
        <v>20</v>
      </c>
      <c r="E454" s="2" t="s">
        <v>12</v>
      </c>
      <c r="F454" s="2">
        <v>900.0</v>
      </c>
      <c r="G454" s="2">
        <v>5146.61</v>
      </c>
      <c r="H454" s="2">
        <v>4631948.0</v>
      </c>
      <c r="I454" s="2">
        <v>828.0</v>
      </c>
    </row>
    <row r="455" ht="15.75" customHeight="1">
      <c r="A455" s="2">
        <v>10.0</v>
      </c>
      <c r="B455" s="2" t="s">
        <v>38</v>
      </c>
      <c r="C455" s="2" t="s">
        <v>28</v>
      </c>
      <c r="D455" s="2" t="s">
        <v>20</v>
      </c>
      <c r="E455" s="2" t="s">
        <v>13</v>
      </c>
      <c r="F455" s="2">
        <v>217.0</v>
      </c>
      <c r="G455" s="2">
        <v>20891.88</v>
      </c>
      <c r="H455" s="2">
        <v>4533538.0</v>
      </c>
      <c r="I455" s="2">
        <v>161.0</v>
      </c>
    </row>
    <row r="456" ht="15.75" customHeight="1">
      <c r="A456" s="2">
        <v>10.0</v>
      </c>
      <c r="B456" s="2" t="s">
        <v>38</v>
      </c>
      <c r="C456" s="2" t="s">
        <v>28</v>
      </c>
      <c r="D456" s="2" t="s">
        <v>20</v>
      </c>
      <c r="E456" s="2" t="s">
        <v>14</v>
      </c>
      <c r="F456" s="2">
        <v>292.0</v>
      </c>
      <c r="G456" s="2">
        <v>6998.88</v>
      </c>
      <c r="H456" s="2">
        <v>2043673.0</v>
      </c>
      <c r="I456" s="2">
        <v>235.0</v>
      </c>
    </row>
    <row r="457" ht="15.75" customHeight="1">
      <c r="A457" s="2">
        <v>10.0</v>
      </c>
      <c r="B457" s="2" t="s">
        <v>38</v>
      </c>
      <c r="C457" s="2" t="s">
        <v>28</v>
      </c>
      <c r="D457" s="2" t="s">
        <v>20</v>
      </c>
      <c r="E457" s="2" t="s">
        <v>15</v>
      </c>
      <c r="F457" s="2">
        <v>675.0</v>
      </c>
      <c r="G457" s="2">
        <v>1150.62</v>
      </c>
      <c r="H457" s="2">
        <v>776671.0</v>
      </c>
      <c r="I457" s="2">
        <v>571.0</v>
      </c>
    </row>
    <row r="458" ht="15.75" customHeight="1">
      <c r="A458" s="2">
        <v>10.0</v>
      </c>
      <c r="B458" s="2" t="s">
        <v>38</v>
      </c>
      <c r="C458" s="2" t="s">
        <v>28</v>
      </c>
      <c r="D458" s="2" t="s">
        <v>21</v>
      </c>
      <c r="E458" s="2" t="s">
        <v>12</v>
      </c>
      <c r="F458" s="2">
        <v>1112.0</v>
      </c>
      <c r="G458" s="2">
        <v>5151.6</v>
      </c>
      <c r="H458" s="2">
        <v>5728575.0</v>
      </c>
      <c r="I458" s="2">
        <v>883.0</v>
      </c>
    </row>
    <row r="459" ht="15.75" customHeight="1">
      <c r="A459" s="2">
        <v>10.0</v>
      </c>
      <c r="B459" s="2" t="s">
        <v>38</v>
      </c>
      <c r="C459" s="2" t="s">
        <v>28</v>
      </c>
      <c r="D459" s="2" t="s">
        <v>21</v>
      </c>
      <c r="E459" s="2" t="s">
        <v>13</v>
      </c>
      <c r="F459" s="2">
        <v>206.0</v>
      </c>
      <c r="G459" s="2">
        <v>20456.28</v>
      </c>
      <c r="H459" s="2">
        <v>4213993.0</v>
      </c>
      <c r="I459" s="2">
        <v>182.0</v>
      </c>
    </row>
    <row r="460" ht="15.75" customHeight="1">
      <c r="A460" s="2">
        <v>10.0</v>
      </c>
      <c r="B460" s="2" t="s">
        <v>38</v>
      </c>
      <c r="C460" s="2" t="s">
        <v>28</v>
      </c>
      <c r="D460" s="2" t="s">
        <v>21</v>
      </c>
      <c r="E460" s="2" t="s">
        <v>14</v>
      </c>
      <c r="F460" s="2">
        <v>403.0</v>
      </c>
      <c r="G460" s="2">
        <v>7064.35</v>
      </c>
      <c r="H460" s="2">
        <v>2846934.0</v>
      </c>
      <c r="I460" s="2">
        <v>363.0</v>
      </c>
    </row>
    <row r="461" ht="15.75" customHeight="1">
      <c r="A461" s="2">
        <v>10.0</v>
      </c>
      <c r="B461" s="2" t="s">
        <v>38</v>
      </c>
      <c r="C461" s="2" t="s">
        <v>28</v>
      </c>
      <c r="D461" s="2" t="s">
        <v>21</v>
      </c>
      <c r="E461" s="2" t="s">
        <v>15</v>
      </c>
      <c r="F461" s="2">
        <v>555.0</v>
      </c>
      <c r="G461" s="2">
        <v>1191.05</v>
      </c>
      <c r="H461" s="2">
        <v>661031.0</v>
      </c>
      <c r="I461" s="2">
        <v>508.0</v>
      </c>
    </row>
    <row r="462" ht="15.75" customHeight="1">
      <c r="A462" s="2">
        <v>10.0</v>
      </c>
      <c r="B462" s="2" t="s">
        <v>38</v>
      </c>
      <c r="C462" s="2" t="s">
        <v>28</v>
      </c>
      <c r="D462" s="2" t="s">
        <v>22</v>
      </c>
      <c r="E462" s="2" t="s">
        <v>12</v>
      </c>
      <c r="F462" s="2">
        <v>850.0</v>
      </c>
      <c r="G462" s="2">
        <v>5234.62</v>
      </c>
      <c r="H462" s="2">
        <v>4449430.0</v>
      </c>
      <c r="I462" s="2">
        <v>607.0</v>
      </c>
    </row>
    <row r="463" ht="15.75" customHeight="1">
      <c r="A463" s="2">
        <v>10.0</v>
      </c>
      <c r="B463" s="2" t="s">
        <v>38</v>
      </c>
      <c r="C463" s="2" t="s">
        <v>28</v>
      </c>
      <c r="D463" s="2" t="s">
        <v>22</v>
      </c>
      <c r="E463" s="2" t="s">
        <v>13</v>
      </c>
      <c r="F463" s="2">
        <v>136.0</v>
      </c>
      <c r="G463" s="2">
        <v>21059.24</v>
      </c>
      <c r="H463" s="2">
        <v>2864057.0</v>
      </c>
      <c r="I463" s="2">
        <v>127.0</v>
      </c>
    </row>
    <row r="464" ht="15.75" customHeight="1">
      <c r="A464" s="2">
        <v>10.0</v>
      </c>
      <c r="B464" s="2" t="s">
        <v>38</v>
      </c>
      <c r="C464" s="2" t="s">
        <v>28</v>
      </c>
      <c r="D464" s="2" t="s">
        <v>22</v>
      </c>
      <c r="E464" s="2" t="s">
        <v>14</v>
      </c>
      <c r="F464" s="2">
        <v>484.0</v>
      </c>
      <c r="G464" s="2">
        <v>6328.8</v>
      </c>
      <c r="H464" s="2">
        <v>3063138.0</v>
      </c>
      <c r="I464" s="2">
        <v>360.0</v>
      </c>
    </row>
    <row r="465" ht="15.75" customHeight="1">
      <c r="A465" s="2">
        <v>10.0</v>
      </c>
      <c r="B465" s="2" t="s">
        <v>38</v>
      </c>
      <c r="C465" s="2" t="s">
        <v>28</v>
      </c>
      <c r="D465" s="2" t="s">
        <v>22</v>
      </c>
      <c r="E465" s="2" t="s">
        <v>15</v>
      </c>
      <c r="F465" s="2">
        <v>458.0</v>
      </c>
      <c r="G465" s="2">
        <v>1262.92</v>
      </c>
      <c r="H465" s="2">
        <v>578420.0</v>
      </c>
      <c r="I465" s="2">
        <v>356.0</v>
      </c>
    </row>
    <row r="466" ht="15.75" customHeight="1">
      <c r="A466" s="2">
        <v>10.0</v>
      </c>
      <c r="B466" s="2" t="s">
        <v>38</v>
      </c>
      <c r="C466" s="2" t="s">
        <v>28</v>
      </c>
      <c r="D466" s="2" t="s">
        <v>23</v>
      </c>
      <c r="E466" s="2" t="s">
        <v>12</v>
      </c>
      <c r="F466" s="2">
        <v>805.0</v>
      </c>
      <c r="G466" s="2">
        <v>5123.78</v>
      </c>
      <c r="H466" s="2">
        <v>4124642.0</v>
      </c>
      <c r="I466" s="2">
        <v>660.0</v>
      </c>
    </row>
    <row r="467" ht="15.75" customHeight="1">
      <c r="A467" s="2">
        <v>10.0</v>
      </c>
      <c r="B467" s="2" t="s">
        <v>38</v>
      </c>
      <c r="C467" s="2" t="s">
        <v>28</v>
      </c>
      <c r="D467" s="2" t="s">
        <v>23</v>
      </c>
      <c r="E467" s="2" t="s">
        <v>13</v>
      </c>
      <c r="F467" s="2">
        <v>142.0</v>
      </c>
      <c r="G467" s="2">
        <v>22792.77</v>
      </c>
      <c r="H467" s="2">
        <v>3236573.0</v>
      </c>
      <c r="I467" s="2">
        <v>100.0</v>
      </c>
    </row>
    <row r="468" ht="15.75" customHeight="1">
      <c r="A468" s="2">
        <v>10.0</v>
      </c>
      <c r="B468" s="2" t="s">
        <v>38</v>
      </c>
      <c r="C468" s="2" t="s">
        <v>28</v>
      </c>
      <c r="D468" s="2" t="s">
        <v>23</v>
      </c>
      <c r="E468" s="2" t="s">
        <v>14</v>
      </c>
      <c r="F468" s="2">
        <v>416.0</v>
      </c>
      <c r="G468" s="2">
        <v>6974.9</v>
      </c>
      <c r="H468" s="2">
        <v>2901558.0</v>
      </c>
      <c r="I468" s="2">
        <v>338.0</v>
      </c>
    </row>
    <row r="469" ht="15.75" customHeight="1">
      <c r="A469" s="2">
        <v>10.0</v>
      </c>
      <c r="B469" s="2" t="s">
        <v>38</v>
      </c>
      <c r="C469" s="2" t="s">
        <v>28</v>
      </c>
      <c r="D469" s="2" t="s">
        <v>23</v>
      </c>
      <c r="E469" s="2" t="s">
        <v>15</v>
      </c>
      <c r="F469" s="2">
        <v>894.0</v>
      </c>
      <c r="G469" s="2">
        <v>1234.65</v>
      </c>
      <c r="H469" s="2">
        <v>1103776.0</v>
      </c>
      <c r="I469" s="2">
        <v>742.0</v>
      </c>
    </row>
    <row r="470" ht="15.75" customHeight="1">
      <c r="A470" s="2">
        <v>10.0</v>
      </c>
      <c r="B470" s="2" t="s">
        <v>38</v>
      </c>
      <c r="C470" s="2" t="s">
        <v>28</v>
      </c>
      <c r="D470" s="2" t="s">
        <v>24</v>
      </c>
      <c r="E470" s="2" t="s">
        <v>12</v>
      </c>
      <c r="F470" s="2">
        <v>1027.0</v>
      </c>
      <c r="G470" s="2">
        <v>5086.89</v>
      </c>
      <c r="H470" s="2">
        <v>5224233.0</v>
      </c>
      <c r="I470" s="2">
        <v>752.0</v>
      </c>
    </row>
    <row r="471" ht="15.75" customHeight="1">
      <c r="A471" s="2">
        <v>10.0</v>
      </c>
      <c r="B471" s="2" t="s">
        <v>38</v>
      </c>
      <c r="C471" s="2" t="s">
        <v>28</v>
      </c>
      <c r="D471" s="2" t="s">
        <v>24</v>
      </c>
      <c r="E471" s="2" t="s">
        <v>13</v>
      </c>
      <c r="F471" s="2">
        <v>151.0</v>
      </c>
      <c r="G471" s="2">
        <v>21573.44</v>
      </c>
      <c r="H471" s="2">
        <v>3257590.0</v>
      </c>
      <c r="I471" s="2">
        <v>132.0</v>
      </c>
    </row>
    <row r="472" ht="15.75" customHeight="1">
      <c r="A472" s="2">
        <v>10.0</v>
      </c>
      <c r="B472" s="2" t="s">
        <v>38</v>
      </c>
      <c r="C472" s="2" t="s">
        <v>28</v>
      </c>
      <c r="D472" s="2" t="s">
        <v>24</v>
      </c>
      <c r="E472" s="2" t="s">
        <v>14</v>
      </c>
      <c r="F472" s="2">
        <v>433.0</v>
      </c>
      <c r="G472" s="2">
        <v>6480.19</v>
      </c>
      <c r="H472" s="2">
        <v>2805924.0</v>
      </c>
      <c r="I472" s="2">
        <v>323.0</v>
      </c>
    </row>
    <row r="473" ht="15.75" customHeight="1">
      <c r="A473" s="2">
        <v>10.0</v>
      </c>
      <c r="B473" s="2" t="s">
        <v>38</v>
      </c>
      <c r="C473" s="2" t="s">
        <v>28</v>
      </c>
      <c r="D473" s="2" t="s">
        <v>24</v>
      </c>
      <c r="E473" s="2" t="s">
        <v>15</v>
      </c>
      <c r="F473" s="2">
        <v>1175.0</v>
      </c>
      <c r="G473" s="2">
        <v>1250.54</v>
      </c>
      <c r="H473" s="2">
        <v>1469388.0</v>
      </c>
      <c r="I473" s="2">
        <v>868.0</v>
      </c>
    </row>
    <row r="474" ht="15.75" customHeight="1">
      <c r="A474" s="2">
        <v>10.0</v>
      </c>
      <c r="B474" s="2" t="s">
        <v>38</v>
      </c>
      <c r="C474" s="2" t="s">
        <v>28</v>
      </c>
      <c r="D474" s="2" t="s">
        <v>25</v>
      </c>
      <c r="E474" s="2" t="s">
        <v>12</v>
      </c>
      <c r="F474" s="2">
        <v>957.0</v>
      </c>
      <c r="G474" s="2">
        <v>5261.86</v>
      </c>
      <c r="H474" s="2">
        <v>5035603.0</v>
      </c>
      <c r="I474" s="2">
        <v>835.0</v>
      </c>
    </row>
    <row r="475" ht="15.75" customHeight="1">
      <c r="A475" s="2">
        <v>10.0</v>
      </c>
      <c r="B475" s="2" t="s">
        <v>38</v>
      </c>
      <c r="C475" s="2" t="s">
        <v>28</v>
      </c>
      <c r="D475" s="2" t="s">
        <v>25</v>
      </c>
      <c r="E475" s="2" t="s">
        <v>13</v>
      </c>
      <c r="F475" s="2">
        <v>154.0</v>
      </c>
      <c r="G475" s="2">
        <v>21673.95</v>
      </c>
      <c r="H475" s="2">
        <v>3337788.0</v>
      </c>
      <c r="I475" s="2">
        <v>145.0</v>
      </c>
    </row>
    <row r="476" ht="15.75" customHeight="1">
      <c r="A476" s="2">
        <v>10.0</v>
      </c>
      <c r="B476" s="2" t="s">
        <v>38</v>
      </c>
      <c r="C476" s="2" t="s">
        <v>28</v>
      </c>
      <c r="D476" s="2" t="s">
        <v>25</v>
      </c>
      <c r="E476" s="2" t="s">
        <v>14</v>
      </c>
      <c r="F476" s="2">
        <v>313.0</v>
      </c>
      <c r="G476" s="2">
        <v>6900.54</v>
      </c>
      <c r="H476" s="2">
        <v>2159869.0</v>
      </c>
      <c r="I476" s="2">
        <v>286.0</v>
      </c>
    </row>
    <row r="477" ht="15.75" customHeight="1">
      <c r="A477" s="2">
        <v>10.0</v>
      </c>
      <c r="B477" s="2" t="s">
        <v>38</v>
      </c>
      <c r="C477" s="2" t="s">
        <v>28</v>
      </c>
      <c r="D477" s="2" t="s">
        <v>25</v>
      </c>
      <c r="E477" s="2" t="s">
        <v>15</v>
      </c>
      <c r="F477" s="2">
        <v>987.0</v>
      </c>
      <c r="G477" s="2">
        <v>1148.31</v>
      </c>
      <c r="H477" s="2">
        <v>1133382.0</v>
      </c>
      <c r="I477" s="2">
        <v>718.0</v>
      </c>
    </row>
    <row r="478" ht="15.75" customHeight="1">
      <c r="A478" s="2">
        <v>10.0</v>
      </c>
      <c r="B478" s="2" t="s">
        <v>38</v>
      </c>
      <c r="C478" s="2" t="s">
        <v>28</v>
      </c>
      <c r="D478" s="2" t="s">
        <v>26</v>
      </c>
      <c r="E478" s="2" t="s">
        <v>12</v>
      </c>
      <c r="F478" s="2">
        <v>944.0</v>
      </c>
      <c r="G478" s="2">
        <v>5521.11</v>
      </c>
      <c r="H478" s="2">
        <v>5211923.0</v>
      </c>
      <c r="I478" s="2">
        <v>711.0</v>
      </c>
    </row>
    <row r="479" ht="15.75" customHeight="1">
      <c r="A479" s="2">
        <v>10.0</v>
      </c>
      <c r="B479" s="2" t="s">
        <v>38</v>
      </c>
      <c r="C479" s="2" t="s">
        <v>28</v>
      </c>
      <c r="D479" s="2" t="s">
        <v>26</v>
      </c>
      <c r="E479" s="2" t="s">
        <v>13</v>
      </c>
      <c r="F479" s="2">
        <v>241.0</v>
      </c>
      <c r="G479" s="2">
        <v>22449.62</v>
      </c>
      <c r="H479" s="2">
        <v>5410359.0</v>
      </c>
      <c r="I479" s="2">
        <v>192.0</v>
      </c>
    </row>
    <row r="480" ht="15.75" customHeight="1">
      <c r="A480" s="2">
        <v>10.0</v>
      </c>
      <c r="B480" s="2" t="s">
        <v>38</v>
      </c>
      <c r="C480" s="2" t="s">
        <v>28</v>
      </c>
      <c r="D480" s="2" t="s">
        <v>26</v>
      </c>
      <c r="E480" s="2" t="s">
        <v>14</v>
      </c>
      <c r="F480" s="2">
        <v>268.0</v>
      </c>
      <c r="G480" s="2">
        <v>6144.72</v>
      </c>
      <c r="H480" s="2">
        <v>1646784.0</v>
      </c>
      <c r="I480" s="2">
        <v>198.0</v>
      </c>
    </row>
    <row r="481" ht="15.75" customHeight="1">
      <c r="A481" s="2">
        <v>10.0</v>
      </c>
      <c r="B481" s="2" t="s">
        <v>38</v>
      </c>
      <c r="C481" s="2" t="s">
        <v>28</v>
      </c>
      <c r="D481" s="2" t="s">
        <v>26</v>
      </c>
      <c r="E481" s="2" t="s">
        <v>15</v>
      </c>
      <c r="F481" s="2">
        <v>1103.0</v>
      </c>
      <c r="G481" s="2">
        <v>1294.35</v>
      </c>
      <c r="H481" s="2">
        <v>1427664.0</v>
      </c>
      <c r="I481" s="2">
        <v>785.0</v>
      </c>
    </row>
    <row r="482" ht="15.75" customHeight="1">
      <c r="A482" s="2">
        <v>11.0</v>
      </c>
      <c r="B482" s="2" t="s">
        <v>39</v>
      </c>
      <c r="C482" s="2" t="s">
        <v>10</v>
      </c>
      <c r="D482" s="2" t="s">
        <v>11</v>
      </c>
      <c r="E482" s="2" t="s">
        <v>12</v>
      </c>
      <c r="F482" s="2">
        <v>1184.0</v>
      </c>
      <c r="G482" s="2">
        <v>5233.1</v>
      </c>
      <c r="H482" s="2">
        <v>6195989.0</v>
      </c>
      <c r="I482" s="2">
        <v>914.0</v>
      </c>
    </row>
    <row r="483" ht="15.75" customHeight="1">
      <c r="A483" s="2">
        <v>11.0</v>
      </c>
      <c r="B483" s="2" t="s">
        <v>39</v>
      </c>
      <c r="C483" s="2" t="s">
        <v>10</v>
      </c>
      <c r="D483" s="2" t="s">
        <v>11</v>
      </c>
      <c r="E483" s="2" t="s">
        <v>13</v>
      </c>
      <c r="F483" s="2">
        <v>167.0</v>
      </c>
      <c r="G483" s="2">
        <v>21664.95</v>
      </c>
      <c r="H483" s="2">
        <v>3618047.0</v>
      </c>
      <c r="I483" s="2">
        <v>144.0</v>
      </c>
    </row>
    <row r="484" ht="15.75" customHeight="1">
      <c r="A484" s="2">
        <v>11.0</v>
      </c>
      <c r="B484" s="2" t="s">
        <v>39</v>
      </c>
      <c r="C484" s="2" t="s">
        <v>10</v>
      </c>
      <c r="D484" s="2" t="s">
        <v>11</v>
      </c>
      <c r="E484" s="2" t="s">
        <v>14</v>
      </c>
      <c r="F484" s="2">
        <v>301.0</v>
      </c>
      <c r="G484" s="2">
        <v>7056.84</v>
      </c>
      <c r="H484" s="2">
        <v>2124109.0</v>
      </c>
      <c r="I484" s="2">
        <v>271.0</v>
      </c>
    </row>
    <row r="485" ht="15.75" customHeight="1">
      <c r="A485" s="2">
        <v>11.0</v>
      </c>
      <c r="B485" s="2" t="s">
        <v>39</v>
      </c>
      <c r="C485" s="2" t="s">
        <v>10</v>
      </c>
      <c r="D485" s="2" t="s">
        <v>11</v>
      </c>
      <c r="E485" s="2" t="s">
        <v>15</v>
      </c>
      <c r="F485" s="2">
        <v>993.0</v>
      </c>
      <c r="G485" s="2">
        <v>1077.24</v>
      </c>
      <c r="H485" s="2">
        <v>1069699.0</v>
      </c>
      <c r="I485" s="2">
        <v>913.0</v>
      </c>
    </row>
    <row r="486" ht="15.75" customHeight="1">
      <c r="A486" s="2">
        <v>11.0</v>
      </c>
      <c r="B486" s="2" t="s">
        <v>39</v>
      </c>
      <c r="C486" s="2" t="s">
        <v>10</v>
      </c>
      <c r="D486" s="2" t="s">
        <v>16</v>
      </c>
      <c r="E486" s="2" t="s">
        <v>12</v>
      </c>
      <c r="F486" s="2">
        <v>878.0</v>
      </c>
      <c r="G486" s="2">
        <v>5557.95</v>
      </c>
      <c r="H486" s="2">
        <v>4879881.0</v>
      </c>
      <c r="I486" s="2">
        <v>640.0</v>
      </c>
    </row>
    <row r="487" ht="15.75" customHeight="1">
      <c r="A487" s="2">
        <v>11.0</v>
      </c>
      <c r="B487" s="2" t="s">
        <v>39</v>
      </c>
      <c r="C487" s="2" t="s">
        <v>10</v>
      </c>
      <c r="D487" s="2" t="s">
        <v>16</v>
      </c>
      <c r="E487" s="2" t="s">
        <v>13</v>
      </c>
      <c r="F487" s="2">
        <v>153.0</v>
      </c>
      <c r="G487" s="2">
        <v>21290.88</v>
      </c>
      <c r="H487" s="2">
        <v>3257505.0</v>
      </c>
      <c r="I487" s="2">
        <v>131.0</v>
      </c>
    </row>
    <row r="488" ht="15.75" customHeight="1">
      <c r="A488" s="2">
        <v>11.0</v>
      </c>
      <c r="B488" s="2" t="s">
        <v>39</v>
      </c>
      <c r="C488" s="2" t="s">
        <v>10</v>
      </c>
      <c r="D488" s="2" t="s">
        <v>16</v>
      </c>
      <c r="E488" s="2" t="s">
        <v>14</v>
      </c>
      <c r="F488" s="2">
        <v>412.0</v>
      </c>
      <c r="G488" s="2">
        <v>6371.12</v>
      </c>
      <c r="H488" s="2">
        <v>2624900.0</v>
      </c>
      <c r="I488" s="2">
        <v>329.0</v>
      </c>
    </row>
    <row r="489" ht="15.75" customHeight="1">
      <c r="A489" s="2">
        <v>11.0</v>
      </c>
      <c r="B489" s="2" t="s">
        <v>39</v>
      </c>
      <c r="C489" s="2" t="s">
        <v>10</v>
      </c>
      <c r="D489" s="2" t="s">
        <v>16</v>
      </c>
      <c r="E489" s="2" t="s">
        <v>15</v>
      </c>
      <c r="F489" s="2">
        <v>1004.0</v>
      </c>
      <c r="G489" s="2">
        <v>1055.99</v>
      </c>
      <c r="H489" s="2">
        <v>1060219.0</v>
      </c>
      <c r="I489" s="2">
        <v>815.0</v>
      </c>
    </row>
    <row r="490" ht="15.75" customHeight="1">
      <c r="A490" s="2">
        <v>11.0</v>
      </c>
      <c r="B490" s="2" t="s">
        <v>39</v>
      </c>
      <c r="C490" s="2" t="s">
        <v>10</v>
      </c>
      <c r="D490" s="2" t="s">
        <v>17</v>
      </c>
      <c r="E490" s="2" t="s">
        <v>12</v>
      </c>
      <c r="F490" s="2">
        <v>904.0</v>
      </c>
      <c r="G490" s="2">
        <v>4869.75</v>
      </c>
      <c r="H490" s="2">
        <v>4402258.0</v>
      </c>
      <c r="I490" s="2">
        <v>636.0</v>
      </c>
    </row>
    <row r="491" ht="15.75" customHeight="1">
      <c r="A491" s="2">
        <v>11.0</v>
      </c>
      <c r="B491" s="2" t="s">
        <v>39</v>
      </c>
      <c r="C491" s="2" t="s">
        <v>10</v>
      </c>
      <c r="D491" s="2" t="s">
        <v>17</v>
      </c>
      <c r="E491" s="2" t="s">
        <v>13</v>
      </c>
      <c r="F491" s="2">
        <v>110.0</v>
      </c>
      <c r="G491" s="2">
        <v>22914.64</v>
      </c>
      <c r="H491" s="2">
        <v>2520610.0</v>
      </c>
      <c r="I491" s="2">
        <v>93.0</v>
      </c>
    </row>
    <row r="492" ht="15.75" customHeight="1">
      <c r="A492" s="2">
        <v>11.0</v>
      </c>
      <c r="B492" s="2" t="s">
        <v>39</v>
      </c>
      <c r="C492" s="2" t="s">
        <v>10</v>
      </c>
      <c r="D492" s="2" t="s">
        <v>17</v>
      </c>
      <c r="E492" s="2" t="s">
        <v>14</v>
      </c>
      <c r="F492" s="2">
        <v>309.0</v>
      </c>
      <c r="G492" s="2">
        <v>7080.75</v>
      </c>
      <c r="H492" s="2">
        <v>2187953.0</v>
      </c>
      <c r="I492" s="2">
        <v>254.0</v>
      </c>
    </row>
    <row r="493" ht="15.75" customHeight="1">
      <c r="A493" s="2">
        <v>11.0</v>
      </c>
      <c r="B493" s="2" t="s">
        <v>39</v>
      </c>
      <c r="C493" s="2" t="s">
        <v>10</v>
      </c>
      <c r="D493" s="2" t="s">
        <v>17</v>
      </c>
      <c r="E493" s="2" t="s">
        <v>15</v>
      </c>
      <c r="F493" s="2">
        <v>484.0</v>
      </c>
      <c r="G493" s="2">
        <v>1269.77</v>
      </c>
      <c r="H493" s="2">
        <v>614570.0</v>
      </c>
      <c r="I493" s="2">
        <v>443.0</v>
      </c>
    </row>
    <row r="494" ht="15.75" customHeight="1">
      <c r="A494" s="2">
        <v>11.0</v>
      </c>
      <c r="B494" s="2" t="s">
        <v>39</v>
      </c>
      <c r="C494" s="2" t="s">
        <v>10</v>
      </c>
      <c r="D494" s="2" t="s">
        <v>18</v>
      </c>
      <c r="E494" s="2" t="s">
        <v>12</v>
      </c>
      <c r="F494" s="2">
        <v>1049.0</v>
      </c>
      <c r="G494" s="2">
        <v>5209.15</v>
      </c>
      <c r="H494" s="2">
        <v>5464400.0</v>
      </c>
      <c r="I494" s="2">
        <v>823.0</v>
      </c>
    </row>
    <row r="495" ht="15.75" customHeight="1">
      <c r="A495" s="2">
        <v>11.0</v>
      </c>
      <c r="B495" s="2" t="s">
        <v>39</v>
      </c>
      <c r="C495" s="2" t="s">
        <v>10</v>
      </c>
      <c r="D495" s="2" t="s">
        <v>18</v>
      </c>
      <c r="E495" s="2" t="s">
        <v>13</v>
      </c>
      <c r="F495" s="2">
        <v>111.0</v>
      </c>
      <c r="G495" s="2">
        <v>21484.05</v>
      </c>
      <c r="H495" s="2">
        <v>2384730.0</v>
      </c>
      <c r="I495" s="2">
        <v>81.0</v>
      </c>
    </row>
    <row r="496" ht="15.75" customHeight="1">
      <c r="A496" s="2">
        <v>11.0</v>
      </c>
      <c r="B496" s="2" t="s">
        <v>39</v>
      </c>
      <c r="C496" s="2" t="s">
        <v>10</v>
      </c>
      <c r="D496" s="2" t="s">
        <v>18</v>
      </c>
      <c r="E496" s="2" t="s">
        <v>14</v>
      </c>
      <c r="F496" s="2">
        <v>492.0</v>
      </c>
      <c r="G496" s="2">
        <v>6655.0</v>
      </c>
      <c r="H496" s="2">
        <v>3274262.0</v>
      </c>
      <c r="I496" s="2">
        <v>392.0</v>
      </c>
    </row>
    <row r="497" ht="15.75" customHeight="1">
      <c r="A497" s="2">
        <v>11.0</v>
      </c>
      <c r="B497" s="2" t="s">
        <v>39</v>
      </c>
      <c r="C497" s="2" t="s">
        <v>10</v>
      </c>
      <c r="D497" s="2" t="s">
        <v>18</v>
      </c>
      <c r="E497" s="2" t="s">
        <v>15</v>
      </c>
      <c r="F497" s="2">
        <v>742.0</v>
      </c>
      <c r="G497" s="2">
        <v>1036.57</v>
      </c>
      <c r="H497" s="2">
        <v>769135.0</v>
      </c>
      <c r="I497" s="2">
        <v>670.0</v>
      </c>
    </row>
    <row r="498" ht="15.75" customHeight="1">
      <c r="A498" s="2">
        <v>11.0</v>
      </c>
      <c r="B498" s="2" t="s">
        <v>39</v>
      </c>
      <c r="C498" s="2" t="s">
        <v>10</v>
      </c>
      <c r="D498" s="2" t="s">
        <v>19</v>
      </c>
      <c r="E498" s="2" t="s">
        <v>12</v>
      </c>
      <c r="F498" s="2">
        <v>1097.0</v>
      </c>
      <c r="G498" s="2">
        <v>5335.88</v>
      </c>
      <c r="H498" s="2">
        <v>5853464.0</v>
      </c>
      <c r="I498" s="2">
        <v>993.0</v>
      </c>
    </row>
    <row r="499" ht="15.75" customHeight="1">
      <c r="A499" s="2">
        <v>11.0</v>
      </c>
      <c r="B499" s="2" t="s">
        <v>39</v>
      </c>
      <c r="C499" s="2" t="s">
        <v>10</v>
      </c>
      <c r="D499" s="2" t="s">
        <v>19</v>
      </c>
      <c r="E499" s="2" t="s">
        <v>13</v>
      </c>
      <c r="F499" s="2">
        <v>206.0</v>
      </c>
      <c r="G499" s="2">
        <v>22956.62</v>
      </c>
      <c r="H499" s="2">
        <v>4729065.0</v>
      </c>
      <c r="I499" s="2">
        <v>144.0</v>
      </c>
    </row>
    <row r="500" ht="15.75" customHeight="1">
      <c r="A500" s="2">
        <v>11.0</v>
      </c>
      <c r="B500" s="2" t="s">
        <v>39</v>
      </c>
      <c r="C500" s="2" t="s">
        <v>10</v>
      </c>
      <c r="D500" s="2" t="s">
        <v>19</v>
      </c>
      <c r="E500" s="2" t="s">
        <v>14</v>
      </c>
      <c r="F500" s="2">
        <v>316.0</v>
      </c>
      <c r="G500" s="2">
        <v>6624.19</v>
      </c>
      <c r="H500" s="2">
        <v>2093245.0</v>
      </c>
      <c r="I500" s="2">
        <v>294.0</v>
      </c>
    </row>
    <row r="501" ht="15.75" customHeight="1">
      <c r="A501" s="2">
        <v>11.0</v>
      </c>
      <c r="B501" s="2" t="s">
        <v>39</v>
      </c>
      <c r="C501" s="2" t="s">
        <v>10</v>
      </c>
      <c r="D501" s="2" t="s">
        <v>19</v>
      </c>
      <c r="E501" s="2" t="s">
        <v>15</v>
      </c>
      <c r="F501" s="2">
        <v>1182.0</v>
      </c>
      <c r="G501" s="2">
        <v>1239.21</v>
      </c>
      <c r="H501" s="2">
        <v>1464744.0</v>
      </c>
      <c r="I501" s="2">
        <v>885.0</v>
      </c>
    </row>
    <row r="502" ht="15.75" customHeight="1">
      <c r="A502" s="2">
        <v>11.0</v>
      </c>
      <c r="B502" s="2" t="s">
        <v>39</v>
      </c>
      <c r="C502" s="2" t="s">
        <v>10</v>
      </c>
      <c r="D502" s="2" t="s">
        <v>20</v>
      </c>
      <c r="E502" s="2" t="s">
        <v>12</v>
      </c>
      <c r="F502" s="2">
        <v>740.0</v>
      </c>
      <c r="G502" s="2">
        <v>5149.21</v>
      </c>
      <c r="H502" s="2">
        <v>3810413.0</v>
      </c>
      <c r="I502" s="2">
        <v>607.0</v>
      </c>
    </row>
    <row r="503" ht="15.75" customHeight="1">
      <c r="A503" s="2">
        <v>11.0</v>
      </c>
      <c r="B503" s="2" t="s">
        <v>39</v>
      </c>
      <c r="C503" s="2" t="s">
        <v>10</v>
      </c>
      <c r="D503" s="2" t="s">
        <v>20</v>
      </c>
      <c r="E503" s="2" t="s">
        <v>13</v>
      </c>
      <c r="F503" s="2">
        <v>216.0</v>
      </c>
      <c r="G503" s="2">
        <v>21275.46</v>
      </c>
      <c r="H503" s="2">
        <v>4595499.0</v>
      </c>
      <c r="I503" s="2">
        <v>166.0</v>
      </c>
    </row>
    <row r="504" ht="15.75" customHeight="1">
      <c r="A504" s="2">
        <v>11.0</v>
      </c>
      <c r="B504" s="2" t="s">
        <v>39</v>
      </c>
      <c r="C504" s="2" t="s">
        <v>10</v>
      </c>
      <c r="D504" s="2" t="s">
        <v>20</v>
      </c>
      <c r="E504" s="2" t="s">
        <v>14</v>
      </c>
      <c r="F504" s="2">
        <v>226.0</v>
      </c>
      <c r="G504" s="2">
        <v>6717.34</v>
      </c>
      <c r="H504" s="2">
        <v>1518119.0</v>
      </c>
      <c r="I504" s="2">
        <v>191.0</v>
      </c>
    </row>
    <row r="505" ht="15.75" customHeight="1">
      <c r="A505" s="2">
        <v>11.0</v>
      </c>
      <c r="B505" s="2" t="s">
        <v>39</v>
      </c>
      <c r="C505" s="2" t="s">
        <v>10</v>
      </c>
      <c r="D505" s="2" t="s">
        <v>20</v>
      </c>
      <c r="E505" s="2" t="s">
        <v>15</v>
      </c>
      <c r="F505" s="2">
        <v>505.0</v>
      </c>
      <c r="G505" s="2">
        <v>1276.97</v>
      </c>
      <c r="H505" s="2">
        <v>644868.0</v>
      </c>
      <c r="I505" s="2">
        <v>430.0</v>
      </c>
    </row>
    <row r="506" ht="15.75" customHeight="1">
      <c r="A506" s="2">
        <v>11.0</v>
      </c>
      <c r="B506" s="2" t="s">
        <v>39</v>
      </c>
      <c r="C506" s="2" t="s">
        <v>10</v>
      </c>
      <c r="D506" s="2" t="s">
        <v>21</v>
      </c>
      <c r="E506" s="2" t="s">
        <v>12</v>
      </c>
      <c r="F506" s="2">
        <v>601.0</v>
      </c>
      <c r="G506" s="2">
        <v>5179.34</v>
      </c>
      <c r="H506" s="2">
        <v>3112781.0</v>
      </c>
      <c r="I506" s="2">
        <v>439.0</v>
      </c>
    </row>
    <row r="507" ht="15.75" customHeight="1">
      <c r="A507" s="2">
        <v>11.0</v>
      </c>
      <c r="B507" s="2" t="s">
        <v>39</v>
      </c>
      <c r="C507" s="2" t="s">
        <v>10</v>
      </c>
      <c r="D507" s="2" t="s">
        <v>21</v>
      </c>
      <c r="E507" s="2" t="s">
        <v>13</v>
      </c>
      <c r="F507" s="2">
        <v>106.0</v>
      </c>
      <c r="G507" s="2">
        <v>20230.55</v>
      </c>
      <c r="H507" s="2">
        <v>2144438.0</v>
      </c>
      <c r="I507" s="2">
        <v>92.0</v>
      </c>
    </row>
    <row r="508" ht="15.75" customHeight="1">
      <c r="A508" s="2">
        <v>11.0</v>
      </c>
      <c r="B508" s="2" t="s">
        <v>39</v>
      </c>
      <c r="C508" s="2" t="s">
        <v>10</v>
      </c>
      <c r="D508" s="2" t="s">
        <v>21</v>
      </c>
      <c r="E508" s="2" t="s">
        <v>14</v>
      </c>
      <c r="F508" s="2">
        <v>273.0</v>
      </c>
      <c r="G508" s="2">
        <v>6537.9</v>
      </c>
      <c r="H508" s="2">
        <v>1784848.0</v>
      </c>
      <c r="I508" s="2">
        <v>211.0</v>
      </c>
    </row>
    <row r="509" ht="15.75" customHeight="1">
      <c r="A509" s="2">
        <v>11.0</v>
      </c>
      <c r="B509" s="2" t="s">
        <v>39</v>
      </c>
      <c r="C509" s="2" t="s">
        <v>10</v>
      </c>
      <c r="D509" s="2" t="s">
        <v>21</v>
      </c>
      <c r="E509" s="2" t="s">
        <v>15</v>
      </c>
      <c r="F509" s="2">
        <v>640.0</v>
      </c>
      <c r="G509" s="2">
        <v>1251.35</v>
      </c>
      <c r="H509" s="2">
        <v>800867.0</v>
      </c>
      <c r="I509" s="2">
        <v>538.0</v>
      </c>
    </row>
    <row r="510" ht="15.75" customHeight="1">
      <c r="A510" s="2">
        <v>11.0</v>
      </c>
      <c r="B510" s="2" t="s">
        <v>39</v>
      </c>
      <c r="C510" s="2" t="s">
        <v>10</v>
      </c>
      <c r="D510" s="2" t="s">
        <v>22</v>
      </c>
      <c r="E510" s="2" t="s">
        <v>12</v>
      </c>
      <c r="F510" s="2">
        <v>897.0</v>
      </c>
      <c r="G510" s="2">
        <v>5271.23</v>
      </c>
      <c r="H510" s="2">
        <v>4728294.0</v>
      </c>
      <c r="I510" s="2">
        <v>647.0</v>
      </c>
    </row>
    <row r="511" ht="15.75" customHeight="1">
      <c r="A511" s="2">
        <v>11.0</v>
      </c>
      <c r="B511" s="2" t="s">
        <v>39</v>
      </c>
      <c r="C511" s="2" t="s">
        <v>10</v>
      </c>
      <c r="D511" s="2" t="s">
        <v>22</v>
      </c>
      <c r="E511" s="2" t="s">
        <v>13</v>
      </c>
      <c r="F511" s="2">
        <v>153.0</v>
      </c>
      <c r="G511" s="2">
        <v>22136.97</v>
      </c>
      <c r="H511" s="2">
        <v>3386956.0</v>
      </c>
      <c r="I511" s="2">
        <v>128.0</v>
      </c>
    </row>
    <row r="512" ht="15.75" customHeight="1">
      <c r="A512" s="2">
        <v>11.0</v>
      </c>
      <c r="B512" s="2" t="s">
        <v>39</v>
      </c>
      <c r="C512" s="2" t="s">
        <v>10</v>
      </c>
      <c r="D512" s="2" t="s">
        <v>22</v>
      </c>
      <c r="E512" s="2" t="s">
        <v>14</v>
      </c>
      <c r="F512" s="2">
        <v>372.0</v>
      </c>
      <c r="G512" s="2">
        <v>6841.59</v>
      </c>
      <c r="H512" s="2">
        <v>2545071.0</v>
      </c>
      <c r="I512" s="2">
        <v>316.0</v>
      </c>
    </row>
    <row r="513" ht="15.75" customHeight="1">
      <c r="A513" s="2">
        <v>11.0</v>
      </c>
      <c r="B513" s="2" t="s">
        <v>39</v>
      </c>
      <c r="C513" s="2" t="s">
        <v>10</v>
      </c>
      <c r="D513" s="2" t="s">
        <v>22</v>
      </c>
      <c r="E513" s="2" t="s">
        <v>15</v>
      </c>
      <c r="F513" s="2">
        <v>517.0</v>
      </c>
      <c r="G513" s="2">
        <v>1213.92</v>
      </c>
      <c r="H513" s="2">
        <v>627597.0</v>
      </c>
      <c r="I513" s="2">
        <v>428.0</v>
      </c>
    </row>
    <row r="514" ht="15.75" customHeight="1">
      <c r="A514" s="2">
        <v>11.0</v>
      </c>
      <c r="B514" s="2" t="s">
        <v>39</v>
      </c>
      <c r="C514" s="2" t="s">
        <v>10</v>
      </c>
      <c r="D514" s="2" t="s">
        <v>23</v>
      </c>
      <c r="E514" s="2" t="s">
        <v>12</v>
      </c>
      <c r="F514" s="2">
        <v>819.0</v>
      </c>
      <c r="G514" s="2">
        <v>5159.6</v>
      </c>
      <c r="H514" s="2">
        <v>4225714.0</v>
      </c>
      <c r="I514" s="2">
        <v>698.0</v>
      </c>
    </row>
    <row r="515" ht="15.75" customHeight="1">
      <c r="A515" s="2">
        <v>11.0</v>
      </c>
      <c r="B515" s="2" t="s">
        <v>39</v>
      </c>
      <c r="C515" s="2" t="s">
        <v>10</v>
      </c>
      <c r="D515" s="2" t="s">
        <v>23</v>
      </c>
      <c r="E515" s="2" t="s">
        <v>13</v>
      </c>
      <c r="F515" s="2">
        <v>221.0</v>
      </c>
      <c r="G515" s="2">
        <v>20969.68</v>
      </c>
      <c r="H515" s="2">
        <v>4634299.0</v>
      </c>
      <c r="I515" s="2">
        <v>174.0</v>
      </c>
    </row>
    <row r="516" ht="15.75" customHeight="1">
      <c r="A516" s="2">
        <v>11.0</v>
      </c>
      <c r="B516" s="2" t="s">
        <v>39</v>
      </c>
      <c r="C516" s="2" t="s">
        <v>10</v>
      </c>
      <c r="D516" s="2" t="s">
        <v>23</v>
      </c>
      <c r="E516" s="2" t="s">
        <v>14</v>
      </c>
      <c r="F516" s="2">
        <v>369.0</v>
      </c>
      <c r="G516" s="2">
        <v>6617.4</v>
      </c>
      <c r="H516" s="2">
        <v>2441822.0</v>
      </c>
      <c r="I516" s="2">
        <v>280.0</v>
      </c>
    </row>
    <row r="517" ht="15.75" customHeight="1">
      <c r="A517" s="2">
        <v>11.0</v>
      </c>
      <c r="B517" s="2" t="s">
        <v>39</v>
      </c>
      <c r="C517" s="2" t="s">
        <v>10</v>
      </c>
      <c r="D517" s="2" t="s">
        <v>23</v>
      </c>
      <c r="E517" s="2" t="s">
        <v>15</v>
      </c>
      <c r="F517" s="2">
        <v>692.0</v>
      </c>
      <c r="G517" s="2">
        <v>1275.14</v>
      </c>
      <c r="H517" s="2">
        <v>882395.0</v>
      </c>
      <c r="I517" s="2">
        <v>536.0</v>
      </c>
    </row>
    <row r="518" ht="15.75" customHeight="1">
      <c r="A518" s="2">
        <v>11.0</v>
      </c>
      <c r="B518" s="2" t="s">
        <v>39</v>
      </c>
      <c r="C518" s="2" t="s">
        <v>10</v>
      </c>
      <c r="D518" s="2" t="s">
        <v>24</v>
      </c>
      <c r="E518" s="2" t="s">
        <v>12</v>
      </c>
      <c r="F518" s="2">
        <v>1130.0</v>
      </c>
      <c r="G518" s="2">
        <v>5387.11</v>
      </c>
      <c r="H518" s="2">
        <v>6087436.0</v>
      </c>
      <c r="I518" s="2">
        <v>1019.0</v>
      </c>
    </row>
    <row r="519" ht="15.75" customHeight="1">
      <c r="A519" s="2">
        <v>11.0</v>
      </c>
      <c r="B519" s="2" t="s">
        <v>39</v>
      </c>
      <c r="C519" s="2" t="s">
        <v>10</v>
      </c>
      <c r="D519" s="2" t="s">
        <v>24</v>
      </c>
      <c r="E519" s="2" t="s">
        <v>13</v>
      </c>
      <c r="F519" s="2">
        <v>246.0</v>
      </c>
      <c r="G519" s="2">
        <v>22213.81</v>
      </c>
      <c r="H519" s="2">
        <v>5464597.0</v>
      </c>
      <c r="I519" s="2">
        <v>210.0</v>
      </c>
    </row>
    <row r="520" ht="15.75" customHeight="1">
      <c r="A520" s="2">
        <v>11.0</v>
      </c>
      <c r="B520" s="2" t="s">
        <v>39</v>
      </c>
      <c r="C520" s="2" t="s">
        <v>10</v>
      </c>
      <c r="D520" s="2" t="s">
        <v>24</v>
      </c>
      <c r="E520" s="2" t="s">
        <v>14</v>
      </c>
      <c r="F520" s="2">
        <v>441.0</v>
      </c>
      <c r="G520" s="2">
        <v>6565.86</v>
      </c>
      <c r="H520" s="2">
        <v>2895543.0</v>
      </c>
      <c r="I520" s="2">
        <v>404.0</v>
      </c>
    </row>
    <row r="521" ht="15.75" customHeight="1">
      <c r="A521" s="2">
        <v>11.0</v>
      </c>
      <c r="B521" s="2" t="s">
        <v>39</v>
      </c>
      <c r="C521" s="2" t="s">
        <v>10</v>
      </c>
      <c r="D521" s="2" t="s">
        <v>24</v>
      </c>
      <c r="E521" s="2" t="s">
        <v>15</v>
      </c>
      <c r="F521" s="2">
        <v>1072.0</v>
      </c>
      <c r="G521" s="2">
        <v>1141.39</v>
      </c>
      <c r="H521" s="2">
        <v>1223575.0</v>
      </c>
      <c r="I521" s="2">
        <v>808.0</v>
      </c>
    </row>
    <row r="522" ht="15.75" customHeight="1">
      <c r="A522" s="2">
        <v>11.0</v>
      </c>
      <c r="B522" s="2" t="s">
        <v>39</v>
      </c>
      <c r="C522" s="2" t="s">
        <v>10</v>
      </c>
      <c r="D522" s="2" t="s">
        <v>25</v>
      </c>
      <c r="E522" s="2" t="s">
        <v>12</v>
      </c>
      <c r="F522" s="2">
        <v>1031.0</v>
      </c>
      <c r="G522" s="2">
        <v>5087.32</v>
      </c>
      <c r="H522" s="2">
        <v>5245027.0</v>
      </c>
      <c r="I522" s="2">
        <v>774.0</v>
      </c>
    </row>
    <row r="523" ht="15.75" customHeight="1">
      <c r="A523" s="2">
        <v>11.0</v>
      </c>
      <c r="B523" s="2" t="s">
        <v>39</v>
      </c>
      <c r="C523" s="2" t="s">
        <v>10</v>
      </c>
      <c r="D523" s="2" t="s">
        <v>25</v>
      </c>
      <c r="E523" s="2" t="s">
        <v>13</v>
      </c>
      <c r="F523" s="2">
        <v>110.0</v>
      </c>
      <c r="G523" s="2">
        <v>20907.96</v>
      </c>
      <c r="H523" s="2">
        <v>2299876.0</v>
      </c>
      <c r="I523" s="2">
        <v>83.0</v>
      </c>
    </row>
    <row r="524" ht="15.75" customHeight="1">
      <c r="A524" s="2">
        <v>11.0</v>
      </c>
      <c r="B524" s="2" t="s">
        <v>39</v>
      </c>
      <c r="C524" s="2" t="s">
        <v>10</v>
      </c>
      <c r="D524" s="2" t="s">
        <v>25</v>
      </c>
      <c r="E524" s="2" t="s">
        <v>14</v>
      </c>
      <c r="F524" s="2">
        <v>277.0</v>
      </c>
      <c r="G524" s="2">
        <v>6535.87</v>
      </c>
      <c r="H524" s="2">
        <v>1810436.0</v>
      </c>
      <c r="I524" s="2">
        <v>203.0</v>
      </c>
    </row>
    <row r="525" ht="15.75" customHeight="1">
      <c r="A525" s="2">
        <v>11.0</v>
      </c>
      <c r="B525" s="2" t="s">
        <v>39</v>
      </c>
      <c r="C525" s="2" t="s">
        <v>10</v>
      </c>
      <c r="D525" s="2" t="s">
        <v>25</v>
      </c>
      <c r="E525" s="2" t="s">
        <v>15</v>
      </c>
      <c r="F525" s="2">
        <v>719.0</v>
      </c>
      <c r="G525" s="2">
        <v>1216.36</v>
      </c>
      <c r="H525" s="2">
        <v>874561.0</v>
      </c>
      <c r="I525" s="2">
        <v>527.0</v>
      </c>
    </row>
    <row r="526" ht="15.75" customHeight="1">
      <c r="A526" s="2">
        <v>11.0</v>
      </c>
      <c r="B526" s="2" t="s">
        <v>39</v>
      </c>
      <c r="C526" s="2" t="s">
        <v>10</v>
      </c>
      <c r="D526" s="2" t="s">
        <v>26</v>
      </c>
      <c r="E526" s="2" t="s">
        <v>12</v>
      </c>
      <c r="F526" s="2">
        <v>1196.0</v>
      </c>
      <c r="G526" s="2">
        <v>5176.44</v>
      </c>
      <c r="H526" s="2">
        <v>6191019.0</v>
      </c>
      <c r="I526" s="2">
        <v>970.0</v>
      </c>
    </row>
    <row r="527" ht="15.75" customHeight="1">
      <c r="A527" s="2">
        <v>11.0</v>
      </c>
      <c r="B527" s="2" t="s">
        <v>39</v>
      </c>
      <c r="C527" s="2" t="s">
        <v>10</v>
      </c>
      <c r="D527" s="2" t="s">
        <v>26</v>
      </c>
      <c r="E527" s="2" t="s">
        <v>13</v>
      </c>
      <c r="F527" s="2">
        <v>123.0</v>
      </c>
      <c r="G527" s="2">
        <v>23017.2</v>
      </c>
      <c r="H527" s="2">
        <v>2831115.0</v>
      </c>
      <c r="I527" s="2">
        <v>90.0</v>
      </c>
    </row>
    <row r="528" ht="15.75" customHeight="1">
      <c r="A528" s="2">
        <v>11.0</v>
      </c>
      <c r="B528" s="2" t="s">
        <v>39</v>
      </c>
      <c r="C528" s="2" t="s">
        <v>10</v>
      </c>
      <c r="D528" s="2" t="s">
        <v>26</v>
      </c>
      <c r="E528" s="2" t="s">
        <v>14</v>
      </c>
      <c r="F528" s="2">
        <v>218.0</v>
      </c>
      <c r="G528" s="2">
        <v>6205.28</v>
      </c>
      <c r="H528" s="2">
        <v>1352750.0</v>
      </c>
      <c r="I528" s="2">
        <v>201.0</v>
      </c>
    </row>
    <row r="529" ht="15.75" customHeight="1">
      <c r="A529" s="2">
        <v>11.0</v>
      </c>
      <c r="B529" s="2" t="s">
        <v>39</v>
      </c>
      <c r="C529" s="2" t="s">
        <v>10</v>
      </c>
      <c r="D529" s="2" t="s">
        <v>26</v>
      </c>
      <c r="E529" s="2" t="s">
        <v>15</v>
      </c>
      <c r="F529" s="2">
        <v>1020.0</v>
      </c>
      <c r="G529" s="2">
        <v>1304.57</v>
      </c>
      <c r="H529" s="2">
        <v>1330665.0</v>
      </c>
      <c r="I529" s="2">
        <v>734.0</v>
      </c>
    </row>
    <row r="530" ht="15.75" customHeight="1">
      <c r="A530" s="2">
        <v>12.0</v>
      </c>
      <c r="B530" s="2" t="s">
        <v>40</v>
      </c>
      <c r="C530" s="2" t="s">
        <v>30</v>
      </c>
      <c r="D530" s="2" t="s">
        <v>11</v>
      </c>
      <c r="E530" s="2" t="s">
        <v>12</v>
      </c>
      <c r="F530" s="2">
        <v>952.0</v>
      </c>
      <c r="G530" s="2">
        <v>4973.7</v>
      </c>
      <c r="H530" s="2">
        <v>4734962.0</v>
      </c>
      <c r="I530" s="2">
        <v>753.0</v>
      </c>
    </row>
    <row r="531" ht="15.75" customHeight="1">
      <c r="A531" s="2">
        <v>12.0</v>
      </c>
      <c r="B531" s="2" t="s">
        <v>40</v>
      </c>
      <c r="C531" s="2" t="s">
        <v>30</v>
      </c>
      <c r="D531" s="2" t="s">
        <v>11</v>
      </c>
      <c r="E531" s="2" t="s">
        <v>13</v>
      </c>
      <c r="F531" s="2">
        <v>169.0</v>
      </c>
      <c r="G531" s="2">
        <v>22764.76</v>
      </c>
      <c r="H531" s="2">
        <v>3847245.0</v>
      </c>
      <c r="I531" s="2">
        <v>133.0</v>
      </c>
    </row>
    <row r="532" ht="15.75" customHeight="1">
      <c r="A532" s="2">
        <v>12.0</v>
      </c>
      <c r="B532" s="2" t="s">
        <v>40</v>
      </c>
      <c r="C532" s="2" t="s">
        <v>30</v>
      </c>
      <c r="D532" s="2" t="s">
        <v>11</v>
      </c>
      <c r="E532" s="2" t="s">
        <v>14</v>
      </c>
      <c r="F532" s="2">
        <v>395.0</v>
      </c>
      <c r="G532" s="2">
        <v>7071.56</v>
      </c>
      <c r="H532" s="2">
        <v>2793268.0</v>
      </c>
      <c r="I532" s="2">
        <v>342.0</v>
      </c>
    </row>
    <row r="533" ht="15.75" customHeight="1">
      <c r="A533" s="2">
        <v>12.0</v>
      </c>
      <c r="B533" s="2" t="s">
        <v>40</v>
      </c>
      <c r="C533" s="2" t="s">
        <v>30</v>
      </c>
      <c r="D533" s="2" t="s">
        <v>11</v>
      </c>
      <c r="E533" s="2" t="s">
        <v>15</v>
      </c>
      <c r="F533" s="2">
        <v>827.0</v>
      </c>
      <c r="G533" s="2">
        <v>1178.51</v>
      </c>
      <c r="H533" s="2">
        <v>974625.0</v>
      </c>
      <c r="I533" s="2">
        <v>627.0</v>
      </c>
    </row>
    <row r="534" ht="15.75" customHeight="1">
      <c r="A534" s="2">
        <v>12.0</v>
      </c>
      <c r="B534" s="2" t="s">
        <v>40</v>
      </c>
      <c r="C534" s="2" t="s">
        <v>30</v>
      </c>
      <c r="D534" s="2" t="s">
        <v>16</v>
      </c>
      <c r="E534" s="2" t="s">
        <v>12</v>
      </c>
      <c r="F534" s="2">
        <v>748.0</v>
      </c>
      <c r="G534" s="2">
        <v>5426.26</v>
      </c>
      <c r="H534" s="2">
        <v>4058841.0</v>
      </c>
      <c r="I534" s="2">
        <v>650.0</v>
      </c>
    </row>
    <row r="535" ht="15.75" customHeight="1">
      <c r="A535" s="2">
        <v>12.0</v>
      </c>
      <c r="B535" s="2" t="s">
        <v>40</v>
      </c>
      <c r="C535" s="2" t="s">
        <v>30</v>
      </c>
      <c r="D535" s="2" t="s">
        <v>16</v>
      </c>
      <c r="E535" s="2" t="s">
        <v>13</v>
      </c>
      <c r="F535" s="2">
        <v>143.0</v>
      </c>
      <c r="G535" s="2">
        <v>20254.71</v>
      </c>
      <c r="H535" s="2">
        <v>2896423.0</v>
      </c>
      <c r="I535" s="2">
        <v>111.0</v>
      </c>
    </row>
    <row r="536" ht="15.75" customHeight="1">
      <c r="A536" s="2">
        <v>12.0</v>
      </c>
      <c r="B536" s="2" t="s">
        <v>40</v>
      </c>
      <c r="C536" s="2" t="s">
        <v>30</v>
      </c>
      <c r="D536" s="2" t="s">
        <v>16</v>
      </c>
      <c r="E536" s="2" t="s">
        <v>14</v>
      </c>
      <c r="F536" s="2">
        <v>458.0</v>
      </c>
      <c r="G536" s="2">
        <v>6250.12</v>
      </c>
      <c r="H536" s="2">
        <v>2862557.0</v>
      </c>
      <c r="I536" s="2">
        <v>434.0</v>
      </c>
    </row>
    <row r="537" ht="15.75" customHeight="1">
      <c r="A537" s="2">
        <v>12.0</v>
      </c>
      <c r="B537" s="2" t="s">
        <v>40</v>
      </c>
      <c r="C537" s="2" t="s">
        <v>30</v>
      </c>
      <c r="D537" s="2" t="s">
        <v>16</v>
      </c>
      <c r="E537" s="2" t="s">
        <v>15</v>
      </c>
      <c r="F537" s="2">
        <v>870.0</v>
      </c>
      <c r="G537" s="2">
        <v>1067.04</v>
      </c>
      <c r="H537" s="2">
        <v>928321.0</v>
      </c>
      <c r="I537" s="2">
        <v>710.0</v>
      </c>
    </row>
    <row r="538" ht="15.75" customHeight="1">
      <c r="A538" s="2">
        <v>12.0</v>
      </c>
      <c r="B538" s="2" t="s">
        <v>40</v>
      </c>
      <c r="C538" s="2" t="s">
        <v>30</v>
      </c>
      <c r="D538" s="2" t="s">
        <v>17</v>
      </c>
      <c r="E538" s="2" t="s">
        <v>12</v>
      </c>
      <c r="F538" s="2">
        <v>863.0</v>
      </c>
      <c r="G538" s="2">
        <v>5135.01</v>
      </c>
      <c r="H538" s="2">
        <v>4431510.0</v>
      </c>
      <c r="I538" s="2">
        <v>811.0</v>
      </c>
    </row>
    <row r="539" ht="15.75" customHeight="1">
      <c r="A539" s="2">
        <v>12.0</v>
      </c>
      <c r="B539" s="2" t="s">
        <v>40</v>
      </c>
      <c r="C539" s="2" t="s">
        <v>30</v>
      </c>
      <c r="D539" s="2" t="s">
        <v>17</v>
      </c>
      <c r="E539" s="2" t="s">
        <v>13</v>
      </c>
      <c r="F539" s="2">
        <v>130.0</v>
      </c>
      <c r="G539" s="2">
        <v>21629.15</v>
      </c>
      <c r="H539" s="2">
        <v>2811790.0</v>
      </c>
      <c r="I539" s="2">
        <v>115.0</v>
      </c>
    </row>
    <row r="540" ht="15.75" customHeight="1">
      <c r="A540" s="2">
        <v>12.0</v>
      </c>
      <c r="B540" s="2" t="s">
        <v>40</v>
      </c>
      <c r="C540" s="2" t="s">
        <v>30</v>
      </c>
      <c r="D540" s="2" t="s">
        <v>17</v>
      </c>
      <c r="E540" s="2" t="s">
        <v>14</v>
      </c>
      <c r="F540" s="2">
        <v>407.0</v>
      </c>
      <c r="G540" s="2">
        <v>6233.2</v>
      </c>
      <c r="H540" s="2">
        <v>2536912.0</v>
      </c>
      <c r="I540" s="2">
        <v>368.0</v>
      </c>
    </row>
    <row r="541" ht="15.75" customHeight="1">
      <c r="A541" s="2">
        <v>12.0</v>
      </c>
      <c r="B541" s="2" t="s">
        <v>40</v>
      </c>
      <c r="C541" s="2" t="s">
        <v>30</v>
      </c>
      <c r="D541" s="2" t="s">
        <v>17</v>
      </c>
      <c r="E541" s="2" t="s">
        <v>15</v>
      </c>
      <c r="F541" s="2">
        <v>411.0</v>
      </c>
      <c r="G541" s="2">
        <v>1017.81</v>
      </c>
      <c r="H541" s="2">
        <v>418320.0</v>
      </c>
      <c r="I541" s="2">
        <v>323.0</v>
      </c>
    </row>
    <row r="542" ht="15.75" customHeight="1">
      <c r="A542" s="2">
        <v>12.0</v>
      </c>
      <c r="B542" s="2" t="s">
        <v>40</v>
      </c>
      <c r="C542" s="2" t="s">
        <v>30</v>
      </c>
      <c r="D542" s="2" t="s">
        <v>18</v>
      </c>
      <c r="E542" s="2" t="s">
        <v>12</v>
      </c>
      <c r="F542" s="2">
        <v>1114.0</v>
      </c>
      <c r="G542" s="2">
        <v>5081.54</v>
      </c>
      <c r="H542" s="2">
        <v>5660833.0</v>
      </c>
      <c r="I542" s="2">
        <v>1056.0</v>
      </c>
    </row>
    <row r="543" ht="15.75" customHeight="1">
      <c r="A543" s="2">
        <v>12.0</v>
      </c>
      <c r="B543" s="2" t="s">
        <v>40</v>
      </c>
      <c r="C543" s="2" t="s">
        <v>30</v>
      </c>
      <c r="D543" s="2" t="s">
        <v>18</v>
      </c>
      <c r="E543" s="2" t="s">
        <v>13</v>
      </c>
      <c r="F543" s="2">
        <v>203.0</v>
      </c>
      <c r="G543" s="2">
        <v>21246.87</v>
      </c>
      <c r="H543" s="2">
        <v>4313115.0</v>
      </c>
      <c r="I543" s="2">
        <v>181.0</v>
      </c>
    </row>
    <row r="544" ht="15.75" customHeight="1">
      <c r="A544" s="2">
        <v>12.0</v>
      </c>
      <c r="B544" s="2" t="s">
        <v>40</v>
      </c>
      <c r="C544" s="2" t="s">
        <v>30</v>
      </c>
      <c r="D544" s="2" t="s">
        <v>18</v>
      </c>
      <c r="E544" s="2" t="s">
        <v>14</v>
      </c>
      <c r="F544" s="2">
        <v>320.0</v>
      </c>
      <c r="G544" s="2">
        <v>6505.4</v>
      </c>
      <c r="H544" s="2">
        <v>2081728.0</v>
      </c>
      <c r="I544" s="2">
        <v>244.0</v>
      </c>
    </row>
    <row r="545" ht="15.75" customHeight="1">
      <c r="A545" s="2">
        <v>12.0</v>
      </c>
      <c r="B545" s="2" t="s">
        <v>40</v>
      </c>
      <c r="C545" s="2" t="s">
        <v>30</v>
      </c>
      <c r="D545" s="2" t="s">
        <v>18</v>
      </c>
      <c r="E545" s="2" t="s">
        <v>15</v>
      </c>
      <c r="F545" s="2">
        <v>855.0</v>
      </c>
      <c r="G545" s="2">
        <v>1227.34</v>
      </c>
      <c r="H545" s="2">
        <v>1049374.0</v>
      </c>
      <c r="I545" s="2">
        <v>759.0</v>
      </c>
    </row>
    <row r="546" ht="15.75" customHeight="1">
      <c r="A546" s="2">
        <v>12.0</v>
      </c>
      <c r="B546" s="2" t="s">
        <v>40</v>
      </c>
      <c r="C546" s="2" t="s">
        <v>30</v>
      </c>
      <c r="D546" s="2" t="s">
        <v>19</v>
      </c>
      <c r="E546" s="2" t="s">
        <v>12</v>
      </c>
      <c r="F546" s="2">
        <v>760.0</v>
      </c>
      <c r="G546" s="2">
        <v>5331.09</v>
      </c>
      <c r="H546" s="2">
        <v>4051625.0</v>
      </c>
      <c r="I546" s="2">
        <v>562.0</v>
      </c>
    </row>
    <row r="547" ht="15.75" customHeight="1">
      <c r="A547" s="2">
        <v>12.0</v>
      </c>
      <c r="B547" s="2" t="s">
        <v>40</v>
      </c>
      <c r="C547" s="2" t="s">
        <v>30</v>
      </c>
      <c r="D547" s="2" t="s">
        <v>19</v>
      </c>
      <c r="E547" s="2" t="s">
        <v>13</v>
      </c>
      <c r="F547" s="2">
        <v>241.0</v>
      </c>
      <c r="G547" s="2">
        <v>23472.59</v>
      </c>
      <c r="H547" s="2">
        <v>5656894.0</v>
      </c>
      <c r="I547" s="2">
        <v>175.0</v>
      </c>
    </row>
    <row r="548" ht="15.75" customHeight="1">
      <c r="A548" s="2">
        <v>12.0</v>
      </c>
      <c r="B548" s="2" t="s">
        <v>40</v>
      </c>
      <c r="C548" s="2" t="s">
        <v>30</v>
      </c>
      <c r="D548" s="2" t="s">
        <v>19</v>
      </c>
      <c r="E548" s="2" t="s">
        <v>14</v>
      </c>
      <c r="F548" s="2">
        <v>350.0</v>
      </c>
      <c r="G548" s="2">
        <v>6464.2</v>
      </c>
      <c r="H548" s="2">
        <v>2262471.0</v>
      </c>
      <c r="I548" s="2">
        <v>252.0</v>
      </c>
    </row>
    <row r="549" ht="15.75" customHeight="1">
      <c r="A549" s="2">
        <v>12.0</v>
      </c>
      <c r="B549" s="2" t="s">
        <v>40</v>
      </c>
      <c r="C549" s="2" t="s">
        <v>30</v>
      </c>
      <c r="D549" s="2" t="s">
        <v>19</v>
      </c>
      <c r="E549" s="2" t="s">
        <v>15</v>
      </c>
      <c r="F549" s="2">
        <v>1160.0</v>
      </c>
      <c r="G549" s="2">
        <v>1066.88</v>
      </c>
      <c r="H549" s="2">
        <v>1237577.0</v>
      </c>
      <c r="I549" s="2">
        <v>972.0</v>
      </c>
    </row>
    <row r="550" ht="15.75" customHeight="1">
      <c r="A550" s="2">
        <v>12.0</v>
      </c>
      <c r="B550" s="2" t="s">
        <v>40</v>
      </c>
      <c r="C550" s="2" t="s">
        <v>30</v>
      </c>
      <c r="D550" s="2" t="s">
        <v>20</v>
      </c>
      <c r="E550" s="2" t="s">
        <v>12</v>
      </c>
      <c r="F550" s="2">
        <v>779.0</v>
      </c>
      <c r="G550" s="2">
        <v>5338.67</v>
      </c>
      <c r="H550" s="2">
        <v>4158821.0</v>
      </c>
      <c r="I550" s="2">
        <v>715.0</v>
      </c>
    </row>
    <row r="551" ht="15.75" customHeight="1">
      <c r="A551" s="2">
        <v>12.0</v>
      </c>
      <c r="B551" s="2" t="s">
        <v>40</v>
      </c>
      <c r="C551" s="2" t="s">
        <v>30</v>
      </c>
      <c r="D551" s="2" t="s">
        <v>20</v>
      </c>
      <c r="E551" s="2" t="s">
        <v>13</v>
      </c>
      <c r="F551" s="2">
        <v>105.0</v>
      </c>
      <c r="G551" s="2">
        <v>21422.98</v>
      </c>
      <c r="H551" s="2">
        <v>2249413.0</v>
      </c>
      <c r="I551" s="2">
        <v>97.0</v>
      </c>
    </row>
    <row r="552" ht="15.75" customHeight="1">
      <c r="A552" s="2">
        <v>12.0</v>
      </c>
      <c r="B552" s="2" t="s">
        <v>40</v>
      </c>
      <c r="C552" s="2" t="s">
        <v>30</v>
      </c>
      <c r="D552" s="2" t="s">
        <v>20</v>
      </c>
      <c r="E552" s="2" t="s">
        <v>14</v>
      </c>
      <c r="F552" s="2">
        <v>342.0</v>
      </c>
      <c r="G552" s="2">
        <v>6724.55</v>
      </c>
      <c r="H552" s="2">
        <v>2299796.0</v>
      </c>
      <c r="I552" s="2">
        <v>271.0</v>
      </c>
    </row>
    <row r="553" ht="15.75" customHeight="1">
      <c r="A553" s="2">
        <v>12.0</v>
      </c>
      <c r="B553" s="2" t="s">
        <v>40</v>
      </c>
      <c r="C553" s="2" t="s">
        <v>30</v>
      </c>
      <c r="D553" s="2" t="s">
        <v>20</v>
      </c>
      <c r="E553" s="2" t="s">
        <v>15</v>
      </c>
      <c r="F553" s="2">
        <v>615.0</v>
      </c>
      <c r="G553" s="2">
        <v>1190.11</v>
      </c>
      <c r="H553" s="2">
        <v>731918.0</v>
      </c>
      <c r="I553" s="2">
        <v>512.0</v>
      </c>
    </row>
    <row r="554" ht="15.75" customHeight="1">
      <c r="A554" s="2">
        <v>12.0</v>
      </c>
      <c r="B554" s="2" t="s">
        <v>40</v>
      </c>
      <c r="C554" s="2" t="s">
        <v>30</v>
      </c>
      <c r="D554" s="2" t="s">
        <v>21</v>
      </c>
      <c r="E554" s="2" t="s">
        <v>12</v>
      </c>
      <c r="F554" s="2">
        <v>1061.0</v>
      </c>
      <c r="G554" s="2">
        <v>5413.69</v>
      </c>
      <c r="H554" s="2">
        <v>5743923.0</v>
      </c>
      <c r="I554" s="2">
        <v>823.0</v>
      </c>
    </row>
    <row r="555" ht="15.75" customHeight="1">
      <c r="A555" s="2">
        <v>12.0</v>
      </c>
      <c r="B555" s="2" t="s">
        <v>40</v>
      </c>
      <c r="C555" s="2" t="s">
        <v>30</v>
      </c>
      <c r="D555" s="2" t="s">
        <v>21</v>
      </c>
      <c r="E555" s="2" t="s">
        <v>13</v>
      </c>
      <c r="F555" s="2">
        <v>172.0</v>
      </c>
      <c r="G555" s="2">
        <v>21979.68</v>
      </c>
      <c r="H555" s="2">
        <v>3780504.0</v>
      </c>
      <c r="I555" s="2">
        <v>134.0</v>
      </c>
    </row>
    <row r="556" ht="15.75" customHeight="1">
      <c r="A556" s="2">
        <v>12.0</v>
      </c>
      <c r="B556" s="2" t="s">
        <v>40</v>
      </c>
      <c r="C556" s="2" t="s">
        <v>30</v>
      </c>
      <c r="D556" s="2" t="s">
        <v>21</v>
      </c>
      <c r="E556" s="2" t="s">
        <v>14</v>
      </c>
      <c r="F556" s="2">
        <v>362.0</v>
      </c>
      <c r="G556" s="2">
        <v>6860.95</v>
      </c>
      <c r="H556" s="2">
        <v>2483665.0</v>
      </c>
      <c r="I556" s="2">
        <v>284.0</v>
      </c>
    </row>
    <row r="557" ht="15.75" customHeight="1">
      <c r="A557" s="2">
        <v>12.0</v>
      </c>
      <c r="B557" s="2" t="s">
        <v>40</v>
      </c>
      <c r="C557" s="2" t="s">
        <v>30</v>
      </c>
      <c r="D557" s="2" t="s">
        <v>21</v>
      </c>
      <c r="E557" s="2" t="s">
        <v>15</v>
      </c>
      <c r="F557" s="2">
        <v>1187.0</v>
      </c>
      <c r="G557" s="2">
        <v>1110.15</v>
      </c>
      <c r="H557" s="2">
        <v>1317752.0</v>
      </c>
      <c r="I557" s="2">
        <v>1000.0</v>
      </c>
    </row>
    <row r="558" ht="15.75" customHeight="1">
      <c r="A558" s="2">
        <v>12.0</v>
      </c>
      <c r="B558" s="2" t="s">
        <v>40</v>
      </c>
      <c r="C558" s="2" t="s">
        <v>30</v>
      </c>
      <c r="D558" s="2" t="s">
        <v>22</v>
      </c>
      <c r="E558" s="2" t="s">
        <v>12</v>
      </c>
      <c r="F558" s="2">
        <v>865.0</v>
      </c>
      <c r="G558" s="2">
        <v>5254.97</v>
      </c>
      <c r="H558" s="2">
        <v>4545550.0</v>
      </c>
      <c r="I558" s="2">
        <v>791.0</v>
      </c>
    </row>
    <row r="559" ht="15.75" customHeight="1">
      <c r="A559" s="2">
        <v>12.0</v>
      </c>
      <c r="B559" s="2" t="s">
        <v>40</v>
      </c>
      <c r="C559" s="2" t="s">
        <v>30</v>
      </c>
      <c r="D559" s="2" t="s">
        <v>22</v>
      </c>
      <c r="E559" s="2" t="s">
        <v>13</v>
      </c>
      <c r="F559" s="2">
        <v>194.0</v>
      </c>
      <c r="G559" s="2">
        <v>21658.06</v>
      </c>
      <c r="H559" s="2">
        <v>4201664.0</v>
      </c>
      <c r="I559" s="2">
        <v>159.0</v>
      </c>
    </row>
    <row r="560" ht="15.75" customHeight="1">
      <c r="A560" s="2">
        <v>12.0</v>
      </c>
      <c r="B560" s="2" t="s">
        <v>40</v>
      </c>
      <c r="C560" s="2" t="s">
        <v>30</v>
      </c>
      <c r="D560" s="2" t="s">
        <v>22</v>
      </c>
      <c r="E560" s="2" t="s">
        <v>14</v>
      </c>
      <c r="F560" s="2">
        <v>309.0</v>
      </c>
      <c r="G560" s="2">
        <v>6786.08</v>
      </c>
      <c r="H560" s="2">
        <v>2096897.0</v>
      </c>
      <c r="I560" s="2">
        <v>280.0</v>
      </c>
    </row>
    <row r="561" ht="15.75" customHeight="1">
      <c r="A561" s="2">
        <v>12.0</v>
      </c>
      <c r="B561" s="2" t="s">
        <v>40</v>
      </c>
      <c r="C561" s="2" t="s">
        <v>30</v>
      </c>
      <c r="D561" s="2" t="s">
        <v>22</v>
      </c>
      <c r="E561" s="2" t="s">
        <v>15</v>
      </c>
      <c r="F561" s="2">
        <v>1052.0</v>
      </c>
      <c r="G561" s="2">
        <v>1188.44</v>
      </c>
      <c r="H561" s="2">
        <v>1250237.0</v>
      </c>
      <c r="I561" s="2">
        <v>833.0</v>
      </c>
    </row>
    <row r="562" ht="15.75" customHeight="1">
      <c r="A562" s="2">
        <v>12.0</v>
      </c>
      <c r="B562" s="2" t="s">
        <v>40</v>
      </c>
      <c r="C562" s="2" t="s">
        <v>30</v>
      </c>
      <c r="D562" s="2" t="s">
        <v>23</v>
      </c>
      <c r="E562" s="2" t="s">
        <v>12</v>
      </c>
      <c r="F562" s="2">
        <v>991.0</v>
      </c>
      <c r="G562" s="2">
        <v>5490.16</v>
      </c>
      <c r="H562" s="2">
        <v>5440748.0</v>
      </c>
      <c r="I562" s="2">
        <v>751.0</v>
      </c>
    </row>
    <row r="563" ht="15.75" customHeight="1">
      <c r="A563" s="2">
        <v>12.0</v>
      </c>
      <c r="B563" s="2" t="s">
        <v>40</v>
      </c>
      <c r="C563" s="2" t="s">
        <v>30</v>
      </c>
      <c r="D563" s="2" t="s">
        <v>23</v>
      </c>
      <c r="E563" s="2" t="s">
        <v>13</v>
      </c>
      <c r="F563" s="2">
        <v>111.0</v>
      </c>
      <c r="G563" s="2">
        <v>18789.26</v>
      </c>
      <c r="H563" s="2">
        <v>2085608.0</v>
      </c>
      <c r="I563" s="2">
        <v>104.0</v>
      </c>
    </row>
    <row r="564" ht="15.75" customHeight="1">
      <c r="A564" s="2">
        <v>12.0</v>
      </c>
      <c r="B564" s="2" t="s">
        <v>40</v>
      </c>
      <c r="C564" s="2" t="s">
        <v>30</v>
      </c>
      <c r="D564" s="2" t="s">
        <v>23</v>
      </c>
      <c r="E564" s="2" t="s">
        <v>14</v>
      </c>
      <c r="F564" s="2">
        <v>295.0</v>
      </c>
      <c r="G564" s="2">
        <v>6897.26</v>
      </c>
      <c r="H564" s="2">
        <v>2034690.0</v>
      </c>
      <c r="I564" s="2">
        <v>271.0</v>
      </c>
    </row>
    <row r="565" ht="15.75" customHeight="1">
      <c r="A565" s="2">
        <v>12.0</v>
      </c>
      <c r="B565" s="2" t="s">
        <v>40</v>
      </c>
      <c r="C565" s="2" t="s">
        <v>30</v>
      </c>
      <c r="D565" s="2" t="s">
        <v>23</v>
      </c>
      <c r="E565" s="2" t="s">
        <v>15</v>
      </c>
      <c r="F565" s="2">
        <v>846.0</v>
      </c>
      <c r="G565" s="2">
        <v>1214.21</v>
      </c>
      <c r="H565" s="2">
        <v>1027218.0</v>
      </c>
      <c r="I565" s="2">
        <v>727.0</v>
      </c>
    </row>
    <row r="566" ht="15.75" customHeight="1">
      <c r="A566" s="2">
        <v>12.0</v>
      </c>
      <c r="B566" s="2" t="s">
        <v>40</v>
      </c>
      <c r="C566" s="2" t="s">
        <v>30</v>
      </c>
      <c r="D566" s="2" t="s">
        <v>24</v>
      </c>
      <c r="E566" s="2" t="s">
        <v>12</v>
      </c>
      <c r="F566" s="2">
        <v>642.0</v>
      </c>
      <c r="G566" s="2">
        <v>5606.15</v>
      </c>
      <c r="H566" s="2">
        <v>3599148.0</v>
      </c>
      <c r="I566" s="2">
        <v>473.0</v>
      </c>
    </row>
    <row r="567" ht="15.75" customHeight="1">
      <c r="A567" s="2">
        <v>12.0</v>
      </c>
      <c r="B567" s="2" t="s">
        <v>40</v>
      </c>
      <c r="C567" s="2" t="s">
        <v>30</v>
      </c>
      <c r="D567" s="2" t="s">
        <v>24</v>
      </c>
      <c r="E567" s="2" t="s">
        <v>13</v>
      </c>
      <c r="F567" s="2">
        <v>104.0</v>
      </c>
      <c r="G567" s="2">
        <v>22475.01</v>
      </c>
      <c r="H567" s="2">
        <v>2337401.0</v>
      </c>
      <c r="I567" s="2">
        <v>93.0</v>
      </c>
    </row>
    <row r="568" ht="15.75" customHeight="1">
      <c r="A568" s="2">
        <v>12.0</v>
      </c>
      <c r="B568" s="2" t="s">
        <v>40</v>
      </c>
      <c r="C568" s="2" t="s">
        <v>30</v>
      </c>
      <c r="D568" s="2" t="s">
        <v>24</v>
      </c>
      <c r="E568" s="2" t="s">
        <v>14</v>
      </c>
      <c r="F568" s="2">
        <v>465.0</v>
      </c>
      <c r="G568" s="2">
        <v>6676.28</v>
      </c>
      <c r="H568" s="2">
        <v>3104469.0</v>
      </c>
      <c r="I568" s="2">
        <v>413.0</v>
      </c>
    </row>
    <row r="569" ht="15.75" customHeight="1">
      <c r="A569" s="2">
        <v>12.0</v>
      </c>
      <c r="B569" s="2" t="s">
        <v>40</v>
      </c>
      <c r="C569" s="2" t="s">
        <v>30</v>
      </c>
      <c r="D569" s="2" t="s">
        <v>24</v>
      </c>
      <c r="E569" s="2" t="s">
        <v>15</v>
      </c>
      <c r="F569" s="2">
        <v>455.0</v>
      </c>
      <c r="G569" s="2">
        <v>1051.97</v>
      </c>
      <c r="H569" s="2">
        <v>478647.0</v>
      </c>
      <c r="I569" s="2">
        <v>352.0</v>
      </c>
    </row>
    <row r="570" ht="15.75" customHeight="1">
      <c r="A570" s="2">
        <v>12.0</v>
      </c>
      <c r="B570" s="2" t="s">
        <v>40</v>
      </c>
      <c r="C570" s="2" t="s">
        <v>30</v>
      </c>
      <c r="D570" s="2" t="s">
        <v>25</v>
      </c>
      <c r="E570" s="2" t="s">
        <v>12</v>
      </c>
      <c r="F570" s="2">
        <v>682.0</v>
      </c>
      <c r="G570" s="2">
        <v>5158.17</v>
      </c>
      <c r="H570" s="2">
        <v>3517875.0</v>
      </c>
      <c r="I570" s="2">
        <v>507.0</v>
      </c>
    </row>
    <row r="571" ht="15.75" customHeight="1">
      <c r="A571" s="2">
        <v>12.0</v>
      </c>
      <c r="B571" s="2" t="s">
        <v>40</v>
      </c>
      <c r="C571" s="2" t="s">
        <v>30</v>
      </c>
      <c r="D571" s="2" t="s">
        <v>25</v>
      </c>
      <c r="E571" s="2" t="s">
        <v>13</v>
      </c>
      <c r="F571" s="2">
        <v>243.0</v>
      </c>
      <c r="G571" s="2">
        <v>22183.57</v>
      </c>
      <c r="H571" s="2">
        <v>5390607.0</v>
      </c>
      <c r="I571" s="2">
        <v>173.0</v>
      </c>
    </row>
    <row r="572" ht="15.75" customHeight="1">
      <c r="A572" s="2">
        <v>12.0</v>
      </c>
      <c r="B572" s="2" t="s">
        <v>40</v>
      </c>
      <c r="C572" s="2" t="s">
        <v>30</v>
      </c>
      <c r="D572" s="2" t="s">
        <v>25</v>
      </c>
      <c r="E572" s="2" t="s">
        <v>14</v>
      </c>
      <c r="F572" s="2">
        <v>459.0</v>
      </c>
      <c r="G572" s="2">
        <v>6317.69</v>
      </c>
      <c r="H572" s="2">
        <v>2899819.0</v>
      </c>
      <c r="I572" s="2">
        <v>347.0</v>
      </c>
    </row>
    <row r="573" ht="15.75" customHeight="1">
      <c r="A573" s="2">
        <v>12.0</v>
      </c>
      <c r="B573" s="2" t="s">
        <v>40</v>
      </c>
      <c r="C573" s="2" t="s">
        <v>30</v>
      </c>
      <c r="D573" s="2" t="s">
        <v>25</v>
      </c>
      <c r="E573" s="2" t="s">
        <v>15</v>
      </c>
      <c r="F573" s="2">
        <v>779.0</v>
      </c>
      <c r="G573" s="2">
        <v>1262.61</v>
      </c>
      <c r="H573" s="2">
        <v>983571.0</v>
      </c>
      <c r="I573" s="2">
        <v>604.0</v>
      </c>
    </row>
    <row r="574" ht="15.75" customHeight="1">
      <c r="A574" s="2">
        <v>12.0</v>
      </c>
      <c r="B574" s="2" t="s">
        <v>40</v>
      </c>
      <c r="C574" s="2" t="s">
        <v>30</v>
      </c>
      <c r="D574" s="2" t="s">
        <v>26</v>
      </c>
      <c r="E574" s="2" t="s">
        <v>12</v>
      </c>
      <c r="F574" s="2">
        <v>1019.0</v>
      </c>
      <c r="G574" s="2">
        <v>4789.22</v>
      </c>
      <c r="H574" s="2">
        <v>4880211.0</v>
      </c>
      <c r="I574" s="2">
        <v>746.0</v>
      </c>
    </row>
    <row r="575" ht="15.75" customHeight="1">
      <c r="A575" s="2">
        <v>12.0</v>
      </c>
      <c r="B575" s="2" t="s">
        <v>40</v>
      </c>
      <c r="C575" s="2" t="s">
        <v>30</v>
      </c>
      <c r="D575" s="2" t="s">
        <v>26</v>
      </c>
      <c r="E575" s="2" t="s">
        <v>13</v>
      </c>
      <c r="F575" s="2">
        <v>215.0</v>
      </c>
      <c r="G575" s="2">
        <v>22247.46</v>
      </c>
      <c r="H575" s="2">
        <v>4783203.0</v>
      </c>
      <c r="I575" s="2">
        <v>172.0</v>
      </c>
    </row>
    <row r="576" ht="15.75" customHeight="1">
      <c r="A576" s="2">
        <v>12.0</v>
      </c>
      <c r="B576" s="2" t="s">
        <v>40</v>
      </c>
      <c r="C576" s="2" t="s">
        <v>30</v>
      </c>
      <c r="D576" s="2" t="s">
        <v>26</v>
      </c>
      <c r="E576" s="2" t="s">
        <v>14</v>
      </c>
      <c r="F576" s="2">
        <v>455.0</v>
      </c>
      <c r="G576" s="2">
        <v>6547.87</v>
      </c>
      <c r="H576" s="2">
        <v>2979280.0</v>
      </c>
      <c r="I576" s="2">
        <v>365.0</v>
      </c>
    </row>
    <row r="577" ht="15.75" customHeight="1">
      <c r="A577" s="2">
        <v>12.0</v>
      </c>
      <c r="B577" s="2" t="s">
        <v>40</v>
      </c>
      <c r="C577" s="2" t="s">
        <v>30</v>
      </c>
      <c r="D577" s="2" t="s">
        <v>26</v>
      </c>
      <c r="E577" s="2" t="s">
        <v>15</v>
      </c>
      <c r="F577" s="2">
        <v>925.0</v>
      </c>
      <c r="G577" s="2">
        <v>1082.9</v>
      </c>
      <c r="H577" s="2">
        <v>1001679.0</v>
      </c>
      <c r="I577" s="2">
        <v>688.0</v>
      </c>
    </row>
    <row r="578" ht="15.75" customHeight="1">
      <c r="A578" s="2">
        <v>13.0</v>
      </c>
      <c r="B578" s="2" t="s">
        <v>41</v>
      </c>
      <c r="C578" s="2" t="s">
        <v>28</v>
      </c>
      <c r="D578" s="2" t="s">
        <v>11</v>
      </c>
      <c r="E578" s="2" t="s">
        <v>12</v>
      </c>
      <c r="F578" s="2">
        <v>1197.0</v>
      </c>
      <c r="G578" s="2">
        <v>5253.47</v>
      </c>
      <c r="H578" s="2">
        <v>6288398.0</v>
      </c>
      <c r="I578" s="2">
        <v>1074.0</v>
      </c>
    </row>
    <row r="579" ht="15.75" customHeight="1">
      <c r="A579" s="2">
        <v>13.0</v>
      </c>
      <c r="B579" s="2" t="s">
        <v>41</v>
      </c>
      <c r="C579" s="2" t="s">
        <v>28</v>
      </c>
      <c r="D579" s="2" t="s">
        <v>11</v>
      </c>
      <c r="E579" s="2" t="s">
        <v>13</v>
      </c>
      <c r="F579" s="2">
        <v>248.0</v>
      </c>
      <c r="G579" s="2">
        <v>20662.82</v>
      </c>
      <c r="H579" s="2">
        <v>5124379.0</v>
      </c>
      <c r="I579" s="2">
        <v>220.0</v>
      </c>
    </row>
    <row r="580" ht="15.75" customHeight="1">
      <c r="A580" s="2">
        <v>13.0</v>
      </c>
      <c r="B580" s="2" t="s">
        <v>41</v>
      </c>
      <c r="C580" s="2" t="s">
        <v>28</v>
      </c>
      <c r="D580" s="2" t="s">
        <v>11</v>
      </c>
      <c r="E580" s="2" t="s">
        <v>14</v>
      </c>
      <c r="F580" s="2">
        <v>264.0</v>
      </c>
      <c r="G580" s="2">
        <v>6980.57</v>
      </c>
      <c r="H580" s="2">
        <v>1842871.0</v>
      </c>
      <c r="I580" s="2">
        <v>226.0</v>
      </c>
    </row>
    <row r="581" ht="15.75" customHeight="1">
      <c r="A581" s="2">
        <v>13.0</v>
      </c>
      <c r="B581" s="2" t="s">
        <v>41</v>
      </c>
      <c r="C581" s="2" t="s">
        <v>28</v>
      </c>
      <c r="D581" s="2" t="s">
        <v>11</v>
      </c>
      <c r="E581" s="2" t="s">
        <v>15</v>
      </c>
      <c r="F581" s="2">
        <v>1092.0</v>
      </c>
      <c r="G581" s="2">
        <v>1150.62</v>
      </c>
      <c r="H581" s="2">
        <v>1256480.0</v>
      </c>
      <c r="I581" s="2">
        <v>983.0</v>
      </c>
    </row>
    <row r="582" ht="15.75" customHeight="1">
      <c r="A582" s="2">
        <v>13.0</v>
      </c>
      <c r="B582" s="2" t="s">
        <v>41</v>
      </c>
      <c r="C582" s="2" t="s">
        <v>28</v>
      </c>
      <c r="D582" s="2" t="s">
        <v>16</v>
      </c>
      <c r="E582" s="2" t="s">
        <v>12</v>
      </c>
      <c r="F582" s="2">
        <v>772.0</v>
      </c>
      <c r="G582" s="2">
        <v>5275.53</v>
      </c>
      <c r="H582" s="2">
        <v>4072710.0</v>
      </c>
      <c r="I582" s="2">
        <v>591.0</v>
      </c>
    </row>
    <row r="583" ht="15.75" customHeight="1">
      <c r="A583" s="2">
        <v>13.0</v>
      </c>
      <c r="B583" s="2" t="s">
        <v>41</v>
      </c>
      <c r="C583" s="2" t="s">
        <v>28</v>
      </c>
      <c r="D583" s="2" t="s">
        <v>16</v>
      </c>
      <c r="E583" s="2" t="s">
        <v>13</v>
      </c>
      <c r="F583" s="2">
        <v>238.0</v>
      </c>
      <c r="G583" s="2">
        <v>21151.87</v>
      </c>
      <c r="H583" s="2">
        <v>5034146.0</v>
      </c>
      <c r="I583" s="2">
        <v>193.0</v>
      </c>
    </row>
    <row r="584" ht="15.75" customHeight="1">
      <c r="A584" s="2">
        <v>13.0</v>
      </c>
      <c r="B584" s="2" t="s">
        <v>41</v>
      </c>
      <c r="C584" s="2" t="s">
        <v>28</v>
      </c>
      <c r="D584" s="2" t="s">
        <v>16</v>
      </c>
      <c r="E584" s="2" t="s">
        <v>14</v>
      </c>
      <c r="F584" s="2">
        <v>455.0</v>
      </c>
      <c r="G584" s="2">
        <v>6691.81</v>
      </c>
      <c r="H584" s="2">
        <v>3044773.0</v>
      </c>
      <c r="I584" s="2">
        <v>335.0</v>
      </c>
    </row>
    <row r="585" ht="15.75" customHeight="1">
      <c r="A585" s="2">
        <v>13.0</v>
      </c>
      <c r="B585" s="2" t="s">
        <v>41</v>
      </c>
      <c r="C585" s="2" t="s">
        <v>28</v>
      </c>
      <c r="D585" s="2" t="s">
        <v>16</v>
      </c>
      <c r="E585" s="2" t="s">
        <v>15</v>
      </c>
      <c r="F585" s="2">
        <v>963.0</v>
      </c>
      <c r="G585" s="2">
        <v>1106.67</v>
      </c>
      <c r="H585" s="2">
        <v>1065726.0</v>
      </c>
      <c r="I585" s="2">
        <v>732.0</v>
      </c>
    </row>
    <row r="586" ht="15.75" customHeight="1">
      <c r="A586" s="2">
        <v>13.0</v>
      </c>
      <c r="B586" s="2" t="s">
        <v>41</v>
      </c>
      <c r="C586" s="2" t="s">
        <v>28</v>
      </c>
      <c r="D586" s="2" t="s">
        <v>17</v>
      </c>
      <c r="E586" s="2" t="s">
        <v>12</v>
      </c>
      <c r="F586" s="2">
        <v>1193.0</v>
      </c>
      <c r="G586" s="2">
        <v>4839.46</v>
      </c>
      <c r="H586" s="2">
        <v>5773476.0</v>
      </c>
      <c r="I586" s="2">
        <v>952.0</v>
      </c>
    </row>
    <row r="587" ht="15.75" customHeight="1">
      <c r="A587" s="2">
        <v>13.0</v>
      </c>
      <c r="B587" s="2" t="s">
        <v>41</v>
      </c>
      <c r="C587" s="2" t="s">
        <v>28</v>
      </c>
      <c r="D587" s="2" t="s">
        <v>17</v>
      </c>
      <c r="E587" s="2" t="s">
        <v>13</v>
      </c>
      <c r="F587" s="2">
        <v>141.0</v>
      </c>
      <c r="G587" s="2">
        <v>21144.04</v>
      </c>
      <c r="H587" s="2">
        <v>2981310.0</v>
      </c>
      <c r="I587" s="2">
        <v>126.0</v>
      </c>
    </row>
    <row r="588" ht="15.75" customHeight="1">
      <c r="A588" s="2">
        <v>13.0</v>
      </c>
      <c r="B588" s="2" t="s">
        <v>41</v>
      </c>
      <c r="C588" s="2" t="s">
        <v>28</v>
      </c>
      <c r="D588" s="2" t="s">
        <v>17</v>
      </c>
      <c r="E588" s="2" t="s">
        <v>14</v>
      </c>
      <c r="F588" s="2">
        <v>312.0</v>
      </c>
      <c r="G588" s="2">
        <v>7042.7</v>
      </c>
      <c r="H588" s="2">
        <v>2197322.0</v>
      </c>
      <c r="I588" s="2">
        <v>252.0</v>
      </c>
    </row>
    <row r="589" ht="15.75" customHeight="1">
      <c r="A589" s="2">
        <v>13.0</v>
      </c>
      <c r="B589" s="2" t="s">
        <v>41</v>
      </c>
      <c r="C589" s="2" t="s">
        <v>28</v>
      </c>
      <c r="D589" s="2" t="s">
        <v>17</v>
      </c>
      <c r="E589" s="2" t="s">
        <v>15</v>
      </c>
      <c r="F589" s="2">
        <v>428.0</v>
      </c>
      <c r="G589" s="2">
        <v>1087.92</v>
      </c>
      <c r="H589" s="2">
        <v>465629.0</v>
      </c>
      <c r="I589" s="2">
        <v>329.0</v>
      </c>
    </row>
    <row r="590" ht="15.75" customHeight="1">
      <c r="A590" s="2">
        <v>13.0</v>
      </c>
      <c r="B590" s="2" t="s">
        <v>41</v>
      </c>
      <c r="C590" s="2" t="s">
        <v>28</v>
      </c>
      <c r="D590" s="2" t="s">
        <v>18</v>
      </c>
      <c r="E590" s="2" t="s">
        <v>12</v>
      </c>
      <c r="F590" s="2">
        <v>841.0</v>
      </c>
      <c r="G590" s="2">
        <v>5731.46</v>
      </c>
      <c r="H590" s="2">
        <v>4820159.0</v>
      </c>
      <c r="I590" s="2">
        <v>727.0</v>
      </c>
    </row>
    <row r="591" ht="15.75" customHeight="1">
      <c r="A591" s="2">
        <v>13.0</v>
      </c>
      <c r="B591" s="2" t="s">
        <v>41</v>
      </c>
      <c r="C591" s="2" t="s">
        <v>28</v>
      </c>
      <c r="D591" s="2" t="s">
        <v>18</v>
      </c>
      <c r="E591" s="2" t="s">
        <v>13</v>
      </c>
      <c r="F591" s="2">
        <v>178.0</v>
      </c>
      <c r="G591" s="2">
        <v>21015.43</v>
      </c>
      <c r="H591" s="2">
        <v>3740746.0</v>
      </c>
      <c r="I591" s="2">
        <v>164.0</v>
      </c>
    </row>
    <row r="592" ht="15.75" customHeight="1">
      <c r="A592" s="2">
        <v>13.0</v>
      </c>
      <c r="B592" s="2" t="s">
        <v>41</v>
      </c>
      <c r="C592" s="2" t="s">
        <v>28</v>
      </c>
      <c r="D592" s="2" t="s">
        <v>18</v>
      </c>
      <c r="E592" s="2" t="s">
        <v>14</v>
      </c>
      <c r="F592" s="2">
        <v>372.0</v>
      </c>
      <c r="G592" s="2">
        <v>6837.99</v>
      </c>
      <c r="H592" s="2">
        <v>2543733.0</v>
      </c>
      <c r="I592" s="2">
        <v>308.0</v>
      </c>
    </row>
    <row r="593" ht="15.75" customHeight="1">
      <c r="A593" s="2">
        <v>13.0</v>
      </c>
      <c r="B593" s="2" t="s">
        <v>41</v>
      </c>
      <c r="C593" s="2" t="s">
        <v>28</v>
      </c>
      <c r="D593" s="2" t="s">
        <v>18</v>
      </c>
      <c r="E593" s="2" t="s">
        <v>15</v>
      </c>
      <c r="F593" s="2">
        <v>500.0</v>
      </c>
      <c r="G593" s="2">
        <v>1132.23</v>
      </c>
      <c r="H593" s="2">
        <v>566114.0</v>
      </c>
      <c r="I593" s="2">
        <v>355.0</v>
      </c>
    </row>
    <row r="594" ht="15.75" customHeight="1">
      <c r="A594" s="2">
        <v>13.0</v>
      </c>
      <c r="B594" s="2" t="s">
        <v>41</v>
      </c>
      <c r="C594" s="2" t="s">
        <v>28</v>
      </c>
      <c r="D594" s="2" t="s">
        <v>19</v>
      </c>
      <c r="E594" s="2" t="s">
        <v>12</v>
      </c>
      <c r="F594" s="2">
        <v>799.0</v>
      </c>
      <c r="G594" s="2">
        <v>5347.39</v>
      </c>
      <c r="H594" s="2">
        <v>4272566.0</v>
      </c>
      <c r="I594" s="2">
        <v>573.0</v>
      </c>
    </row>
    <row r="595" ht="15.75" customHeight="1">
      <c r="A595" s="2">
        <v>13.0</v>
      </c>
      <c r="B595" s="2" t="s">
        <v>41</v>
      </c>
      <c r="C595" s="2" t="s">
        <v>28</v>
      </c>
      <c r="D595" s="2" t="s">
        <v>19</v>
      </c>
      <c r="E595" s="2" t="s">
        <v>13</v>
      </c>
      <c r="F595" s="2">
        <v>116.0</v>
      </c>
      <c r="G595" s="2">
        <v>21136.14</v>
      </c>
      <c r="H595" s="2">
        <v>2451793.0</v>
      </c>
      <c r="I595" s="2">
        <v>108.0</v>
      </c>
    </row>
    <row r="596" ht="15.75" customHeight="1">
      <c r="A596" s="2">
        <v>13.0</v>
      </c>
      <c r="B596" s="2" t="s">
        <v>41</v>
      </c>
      <c r="C596" s="2" t="s">
        <v>28</v>
      </c>
      <c r="D596" s="2" t="s">
        <v>19</v>
      </c>
      <c r="E596" s="2" t="s">
        <v>14</v>
      </c>
      <c r="F596" s="2">
        <v>476.0</v>
      </c>
      <c r="G596" s="2">
        <v>6469.27</v>
      </c>
      <c r="H596" s="2">
        <v>3079370.0</v>
      </c>
      <c r="I596" s="2">
        <v>451.0</v>
      </c>
    </row>
    <row r="597" ht="15.75" customHeight="1">
      <c r="A597" s="2">
        <v>13.0</v>
      </c>
      <c r="B597" s="2" t="s">
        <v>41</v>
      </c>
      <c r="C597" s="2" t="s">
        <v>28</v>
      </c>
      <c r="D597" s="2" t="s">
        <v>19</v>
      </c>
      <c r="E597" s="2" t="s">
        <v>15</v>
      </c>
      <c r="F597" s="2">
        <v>835.0</v>
      </c>
      <c r="G597" s="2">
        <v>972.81</v>
      </c>
      <c r="H597" s="2">
        <v>812298.0</v>
      </c>
      <c r="I597" s="2">
        <v>746.0</v>
      </c>
    </row>
    <row r="598" ht="15.75" customHeight="1">
      <c r="A598" s="2">
        <v>13.0</v>
      </c>
      <c r="B598" s="2" t="s">
        <v>41</v>
      </c>
      <c r="C598" s="2" t="s">
        <v>28</v>
      </c>
      <c r="D598" s="2" t="s">
        <v>20</v>
      </c>
      <c r="E598" s="2" t="s">
        <v>12</v>
      </c>
      <c r="F598" s="2">
        <v>990.0</v>
      </c>
      <c r="G598" s="2">
        <v>5177.82</v>
      </c>
      <c r="H598" s="2">
        <v>5126044.0</v>
      </c>
      <c r="I598" s="2">
        <v>795.0</v>
      </c>
    </row>
    <row r="599" ht="15.75" customHeight="1">
      <c r="A599" s="2">
        <v>13.0</v>
      </c>
      <c r="B599" s="2" t="s">
        <v>41</v>
      </c>
      <c r="C599" s="2" t="s">
        <v>28</v>
      </c>
      <c r="D599" s="2" t="s">
        <v>20</v>
      </c>
      <c r="E599" s="2" t="s">
        <v>13</v>
      </c>
      <c r="F599" s="2">
        <v>104.0</v>
      </c>
      <c r="G599" s="2">
        <v>22455.63</v>
      </c>
      <c r="H599" s="2">
        <v>2335385.0</v>
      </c>
      <c r="I599" s="2">
        <v>89.0</v>
      </c>
    </row>
    <row r="600" ht="15.75" customHeight="1">
      <c r="A600" s="2">
        <v>13.0</v>
      </c>
      <c r="B600" s="2" t="s">
        <v>41</v>
      </c>
      <c r="C600" s="2" t="s">
        <v>28</v>
      </c>
      <c r="D600" s="2" t="s">
        <v>20</v>
      </c>
      <c r="E600" s="2" t="s">
        <v>14</v>
      </c>
      <c r="F600" s="2">
        <v>207.0</v>
      </c>
      <c r="G600" s="2">
        <v>6998.81</v>
      </c>
      <c r="H600" s="2">
        <v>1448755.0</v>
      </c>
      <c r="I600" s="2">
        <v>177.0</v>
      </c>
    </row>
    <row r="601" ht="15.75" customHeight="1">
      <c r="A601" s="2">
        <v>13.0</v>
      </c>
      <c r="B601" s="2" t="s">
        <v>41</v>
      </c>
      <c r="C601" s="2" t="s">
        <v>28</v>
      </c>
      <c r="D601" s="2" t="s">
        <v>20</v>
      </c>
      <c r="E601" s="2" t="s">
        <v>15</v>
      </c>
      <c r="F601" s="2">
        <v>862.0</v>
      </c>
      <c r="G601" s="2">
        <v>1124.32</v>
      </c>
      <c r="H601" s="2">
        <v>969164.0</v>
      </c>
      <c r="I601" s="2">
        <v>647.0</v>
      </c>
    </row>
    <row r="602" ht="15.75" customHeight="1">
      <c r="A602" s="2">
        <v>13.0</v>
      </c>
      <c r="B602" s="2" t="s">
        <v>41</v>
      </c>
      <c r="C602" s="2" t="s">
        <v>28</v>
      </c>
      <c r="D602" s="2" t="s">
        <v>21</v>
      </c>
      <c r="E602" s="2" t="s">
        <v>12</v>
      </c>
      <c r="F602" s="2">
        <v>1160.0</v>
      </c>
      <c r="G602" s="2">
        <v>5127.72</v>
      </c>
      <c r="H602" s="2">
        <v>5948159.0</v>
      </c>
      <c r="I602" s="2">
        <v>832.0</v>
      </c>
    </row>
    <row r="603" ht="15.75" customHeight="1">
      <c r="A603" s="2">
        <v>13.0</v>
      </c>
      <c r="B603" s="2" t="s">
        <v>41</v>
      </c>
      <c r="C603" s="2" t="s">
        <v>28</v>
      </c>
      <c r="D603" s="2" t="s">
        <v>21</v>
      </c>
      <c r="E603" s="2" t="s">
        <v>13</v>
      </c>
      <c r="F603" s="2">
        <v>221.0</v>
      </c>
      <c r="G603" s="2">
        <v>20795.63</v>
      </c>
      <c r="H603" s="2">
        <v>4595834.0</v>
      </c>
      <c r="I603" s="2">
        <v>181.0</v>
      </c>
    </row>
    <row r="604" ht="15.75" customHeight="1">
      <c r="A604" s="2">
        <v>13.0</v>
      </c>
      <c r="B604" s="2" t="s">
        <v>41</v>
      </c>
      <c r="C604" s="2" t="s">
        <v>28</v>
      </c>
      <c r="D604" s="2" t="s">
        <v>21</v>
      </c>
      <c r="E604" s="2" t="s">
        <v>14</v>
      </c>
      <c r="F604" s="2">
        <v>454.0</v>
      </c>
      <c r="G604" s="2">
        <v>7136.69</v>
      </c>
      <c r="H604" s="2">
        <v>3240055.0</v>
      </c>
      <c r="I604" s="2">
        <v>402.0</v>
      </c>
    </row>
    <row r="605" ht="15.75" customHeight="1">
      <c r="A605" s="2">
        <v>13.0</v>
      </c>
      <c r="B605" s="2" t="s">
        <v>41</v>
      </c>
      <c r="C605" s="2" t="s">
        <v>28</v>
      </c>
      <c r="D605" s="2" t="s">
        <v>21</v>
      </c>
      <c r="E605" s="2" t="s">
        <v>15</v>
      </c>
      <c r="F605" s="2">
        <v>687.0</v>
      </c>
      <c r="G605" s="2">
        <v>1379.93</v>
      </c>
      <c r="H605" s="2">
        <v>948010.0</v>
      </c>
      <c r="I605" s="2">
        <v>586.0</v>
      </c>
    </row>
    <row r="606" ht="15.75" customHeight="1">
      <c r="A606" s="2">
        <v>13.0</v>
      </c>
      <c r="B606" s="2" t="s">
        <v>41</v>
      </c>
      <c r="C606" s="2" t="s">
        <v>28</v>
      </c>
      <c r="D606" s="2" t="s">
        <v>22</v>
      </c>
      <c r="E606" s="2" t="s">
        <v>12</v>
      </c>
      <c r="F606" s="2">
        <v>825.0</v>
      </c>
      <c r="G606" s="2">
        <v>5227.01</v>
      </c>
      <c r="H606" s="2">
        <v>4312283.0</v>
      </c>
      <c r="I606" s="2">
        <v>768.0</v>
      </c>
    </row>
    <row r="607" ht="15.75" customHeight="1">
      <c r="A607" s="2">
        <v>13.0</v>
      </c>
      <c r="B607" s="2" t="s">
        <v>41</v>
      </c>
      <c r="C607" s="2" t="s">
        <v>28</v>
      </c>
      <c r="D607" s="2" t="s">
        <v>22</v>
      </c>
      <c r="E607" s="2" t="s">
        <v>13</v>
      </c>
      <c r="F607" s="2">
        <v>158.0</v>
      </c>
      <c r="G607" s="2">
        <v>20828.63</v>
      </c>
      <c r="H607" s="2">
        <v>3290924.0</v>
      </c>
      <c r="I607" s="2">
        <v>132.0</v>
      </c>
    </row>
    <row r="608" ht="15.75" customHeight="1">
      <c r="A608" s="2">
        <v>13.0</v>
      </c>
      <c r="B608" s="2" t="s">
        <v>41</v>
      </c>
      <c r="C608" s="2" t="s">
        <v>28</v>
      </c>
      <c r="D608" s="2" t="s">
        <v>22</v>
      </c>
      <c r="E608" s="2" t="s">
        <v>14</v>
      </c>
      <c r="F608" s="2">
        <v>313.0</v>
      </c>
      <c r="G608" s="2">
        <v>6633.62</v>
      </c>
      <c r="H608" s="2">
        <v>2076324.0</v>
      </c>
      <c r="I608" s="2">
        <v>288.0</v>
      </c>
    </row>
    <row r="609" ht="15.75" customHeight="1">
      <c r="A609" s="2">
        <v>13.0</v>
      </c>
      <c r="B609" s="2" t="s">
        <v>41</v>
      </c>
      <c r="C609" s="2" t="s">
        <v>28</v>
      </c>
      <c r="D609" s="2" t="s">
        <v>22</v>
      </c>
      <c r="E609" s="2" t="s">
        <v>15</v>
      </c>
      <c r="F609" s="2">
        <v>521.0</v>
      </c>
      <c r="G609" s="2">
        <v>1172.32</v>
      </c>
      <c r="H609" s="2">
        <v>610778.0</v>
      </c>
      <c r="I609" s="2">
        <v>470.0</v>
      </c>
    </row>
    <row r="610" ht="15.75" customHeight="1">
      <c r="A610" s="2">
        <v>13.0</v>
      </c>
      <c r="B610" s="2" t="s">
        <v>41</v>
      </c>
      <c r="C610" s="2" t="s">
        <v>28</v>
      </c>
      <c r="D610" s="2" t="s">
        <v>23</v>
      </c>
      <c r="E610" s="2" t="s">
        <v>12</v>
      </c>
      <c r="F610" s="2">
        <v>638.0</v>
      </c>
      <c r="G610" s="2">
        <v>5467.51</v>
      </c>
      <c r="H610" s="2">
        <v>3488273.0</v>
      </c>
      <c r="I610" s="2">
        <v>520.0</v>
      </c>
    </row>
    <row r="611" ht="15.75" customHeight="1">
      <c r="A611" s="2">
        <v>13.0</v>
      </c>
      <c r="B611" s="2" t="s">
        <v>41</v>
      </c>
      <c r="C611" s="2" t="s">
        <v>28</v>
      </c>
      <c r="D611" s="2" t="s">
        <v>23</v>
      </c>
      <c r="E611" s="2" t="s">
        <v>13</v>
      </c>
      <c r="F611" s="2">
        <v>235.0</v>
      </c>
      <c r="G611" s="2">
        <v>20849.08</v>
      </c>
      <c r="H611" s="2">
        <v>4899535.0</v>
      </c>
      <c r="I611" s="2">
        <v>208.0</v>
      </c>
    </row>
    <row r="612" ht="15.75" customHeight="1">
      <c r="A612" s="2">
        <v>13.0</v>
      </c>
      <c r="B612" s="2" t="s">
        <v>41</v>
      </c>
      <c r="C612" s="2" t="s">
        <v>28</v>
      </c>
      <c r="D612" s="2" t="s">
        <v>23</v>
      </c>
      <c r="E612" s="2" t="s">
        <v>14</v>
      </c>
      <c r="F612" s="2">
        <v>437.0</v>
      </c>
      <c r="G612" s="2">
        <v>6898.86</v>
      </c>
      <c r="H612" s="2">
        <v>3014804.0</v>
      </c>
      <c r="I612" s="2">
        <v>325.0</v>
      </c>
    </row>
    <row r="613" ht="15.75" customHeight="1">
      <c r="A613" s="2">
        <v>13.0</v>
      </c>
      <c r="B613" s="2" t="s">
        <v>41</v>
      </c>
      <c r="C613" s="2" t="s">
        <v>28</v>
      </c>
      <c r="D613" s="2" t="s">
        <v>23</v>
      </c>
      <c r="E613" s="2" t="s">
        <v>15</v>
      </c>
      <c r="F613" s="2">
        <v>997.0</v>
      </c>
      <c r="G613" s="2">
        <v>1317.35</v>
      </c>
      <c r="H613" s="2">
        <v>1313395.0</v>
      </c>
      <c r="I613" s="2">
        <v>885.0</v>
      </c>
    </row>
    <row r="614" ht="15.75" customHeight="1">
      <c r="A614" s="2">
        <v>13.0</v>
      </c>
      <c r="B614" s="2" t="s">
        <v>41</v>
      </c>
      <c r="C614" s="2" t="s">
        <v>28</v>
      </c>
      <c r="D614" s="2" t="s">
        <v>24</v>
      </c>
      <c r="E614" s="2" t="s">
        <v>12</v>
      </c>
      <c r="F614" s="2">
        <v>944.0</v>
      </c>
      <c r="G614" s="2">
        <v>5281.13</v>
      </c>
      <c r="H614" s="2">
        <v>4985383.0</v>
      </c>
      <c r="I614" s="2">
        <v>832.0</v>
      </c>
    </row>
    <row r="615" ht="15.75" customHeight="1">
      <c r="A615" s="2">
        <v>13.0</v>
      </c>
      <c r="B615" s="2" t="s">
        <v>41</v>
      </c>
      <c r="C615" s="2" t="s">
        <v>28</v>
      </c>
      <c r="D615" s="2" t="s">
        <v>24</v>
      </c>
      <c r="E615" s="2" t="s">
        <v>13</v>
      </c>
      <c r="F615" s="2">
        <v>126.0</v>
      </c>
      <c r="G615" s="2">
        <v>21431.29</v>
      </c>
      <c r="H615" s="2">
        <v>2700342.0</v>
      </c>
      <c r="I615" s="2">
        <v>118.0</v>
      </c>
    </row>
    <row r="616" ht="15.75" customHeight="1">
      <c r="A616" s="2">
        <v>13.0</v>
      </c>
      <c r="B616" s="2" t="s">
        <v>41</v>
      </c>
      <c r="C616" s="2" t="s">
        <v>28</v>
      </c>
      <c r="D616" s="2" t="s">
        <v>24</v>
      </c>
      <c r="E616" s="2" t="s">
        <v>14</v>
      </c>
      <c r="F616" s="2">
        <v>287.0</v>
      </c>
      <c r="G616" s="2">
        <v>6407.88</v>
      </c>
      <c r="H616" s="2">
        <v>1839060.0</v>
      </c>
      <c r="I616" s="2">
        <v>255.0</v>
      </c>
    </row>
    <row r="617" ht="15.75" customHeight="1">
      <c r="A617" s="2">
        <v>13.0</v>
      </c>
      <c r="B617" s="2" t="s">
        <v>41</v>
      </c>
      <c r="C617" s="2" t="s">
        <v>28</v>
      </c>
      <c r="D617" s="2" t="s">
        <v>24</v>
      </c>
      <c r="E617" s="2" t="s">
        <v>15</v>
      </c>
      <c r="F617" s="2">
        <v>752.0</v>
      </c>
      <c r="G617" s="2">
        <v>1022.74</v>
      </c>
      <c r="H617" s="2">
        <v>769100.0</v>
      </c>
      <c r="I617" s="2">
        <v>621.0</v>
      </c>
    </row>
    <row r="618" ht="15.75" customHeight="1">
      <c r="A618" s="2">
        <v>13.0</v>
      </c>
      <c r="B618" s="2" t="s">
        <v>41</v>
      </c>
      <c r="C618" s="2" t="s">
        <v>28</v>
      </c>
      <c r="D618" s="2" t="s">
        <v>25</v>
      </c>
      <c r="E618" s="2" t="s">
        <v>12</v>
      </c>
      <c r="F618" s="2">
        <v>618.0</v>
      </c>
      <c r="G618" s="2">
        <v>5500.39</v>
      </c>
      <c r="H618" s="2">
        <v>3399241.0</v>
      </c>
      <c r="I618" s="2">
        <v>499.0</v>
      </c>
    </row>
    <row r="619" ht="15.75" customHeight="1">
      <c r="A619" s="2">
        <v>13.0</v>
      </c>
      <c r="B619" s="2" t="s">
        <v>41</v>
      </c>
      <c r="C619" s="2" t="s">
        <v>28</v>
      </c>
      <c r="D619" s="2" t="s">
        <v>25</v>
      </c>
      <c r="E619" s="2" t="s">
        <v>13</v>
      </c>
      <c r="F619" s="2">
        <v>235.0</v>
      </c>
      <c r="G619" s="2">
        <v>21664.02</v>
      </c>
      <c r="H619" s="2">
        <v>5091045.0</v>
      </c>
      <c r="I619" s="2">
        <v>191.0</v>
      </c>
    </row>
    <row r="620" ht="15.75" customHeight="1">
      <c r="A620" s="2">
        <v>13.0</v>
      </c>
      <c r="B620" s="2" t="s">
        <v>41</v>
      </c>
      <c r="C620" s="2" t="s">
        <v>28</v>
      </c>
      <c r="D620" s="2" t="s">
        <v>25</v>
      </c>
      <c r="E620" s="2" t="s">
        <v>14</v>
      </c>
      <c r="F620" s="2">
        <v>343.0</v>
      </c>
      <c r="G620" s="2">
        <v>6878.99</v>
      </c>
      <c r="H620" s="2">
        <v>2359495.0</v>
      </c>
      <c r="I620" s="2">
        <v>315.0</v>
      </c>
    </row>
    <row r="621" ht="15.75" customHeight="1">
      <c r="A621" s="2">
        <v>13.0</v>
      </c>
      <c r="B621" s="2" t="s">
        <v>41</v>
      </c>
      <c r="C621" s="2" t="s">
        <v>28</v>
      </c>
      <c r="D621" s="2" t="s">
        <v>25</v>
      </c>
      <c r="E621" s="2" t="s">
        <v>15</v>
      </c>
      <c r="F621" s="2">
        <v>503.0</v>
      </c>
      <c r="G621" s="2">
        <v>1276.95</v>
      </c>
      <c r="H621" s="2">
        <v>642307.0</v>
      </c>
      <c r="I621" s="2">
        <v>376.0</v>
      </c>
    </row>
    <row r="622" ht="15.75" customHeight="1">
      <c r="A622" s="2">
        <v>13.0</v>
      </c>
      <c r="B622" s="2" t="s">
        <v>41</v>
      </c>
      <c r="C622" s="2" t="s">
        <v>28</v>
      </c>
      <c r="D622" s="2" t="s">
        <v>26</v>
      </c>
      <c r="E622" s="2" t="s">
        <v>12</v>
      </c>
      <c r="F622" s="2">
        <v>1090.0</v>
      </c>
      <c r="G622" s="2">
        <v>5519.98</v>
      </c>
      <c r="H622" s="2">
        <v>6016779.0</v>
      </c>
      <c r="I622" s="2">
        <v>985.0</v>
      </c>
    </row>
    <row r="623" ht="15.75" customHeight="1">
      <c r="A623" s="2">
        <v>13.0</v>
      </c>
      <c r="B623" s="2" t="s">
        <v>41</v>
      </c>
      <c r="C623" s="2" t="s">
        <v>28</v>
      </c>
      <c r="D623" s="2" t="s">
        <v>26</v>
      </c>
      <c r="E623" s="2" t="s">
        <v>13</v>
      </c>
      <c r="F623" s="2">
        <v>165.0</v>
      </c>
      <c r="G623" s="2">
        <v>20813.52</v>
      </c>
      <c r="H623" s="2">
        <v>3434230.0</v>
      </c>
      <c r="I623" s="2">
        <v>130.0</v>
      </c>
    </row>
    <row r="624" ht="15.75" customHeight="1">
      <c r="A624" s="2">
        <v>13.0</v>
      </c>
      <c r="B624" s="2" t="s">
        <v>41</v>
      </c>
      <c r="C624" s="2" t="s">
        <v>28</v>
      </c>
      <c r="D624" s="2" t="s">
        <v>26</v>
      </c>
      <c r="E624" s="2" t="s">
        <v>14</v>
      </c>
      <c r="F624" s="2">
        <v>212.0</v>
      </c>
      <c r="G624" s="2">
        <v>7191.68</v>
      </c>
      <c r="H624" s="2">
        <v>1524637.0</v>
      </c>
      <c r="I624" s="2">
        <v>193.0</v>
      </c>
    </row>
    <row r="625" ht="15.75" customHeight="1">
      <c r="A625" s="2">
        <v>13.0</v>
      </c>
      <c r="B625" s="2" t="s">
        <v>41</v>
      </c>
      <c r="C625" s="2" t="s">
        <v>28</v>
      </c>
      <c r="D625" s="2" t="s">
        <v>26</v>
      </c>
      <c r="E625" s="2" t="s">
        <v>15</v>
      </c>
      <c r="F625" s="2">
        <v>713.0</v>
      </c>
      <c r="G625" s="2">
        <v>1462.51</v>
      </c>
      <c r="H625" s="2">
        <v>1042769.0</v>
      </c>
      <c r="I625" s="2">
        <v>505.0</v>
      </c>
    </row>
    <row r="626" ht="15.75" customHeight="1">
      <c r="A626" s="2">
        <v>14.0</v>
      </c>
      <c r="B626" s="2" t="s">
        <v>42</v>
      </c>
      <c r="C626" s="2" t="s">
        <v>34</v>
      </c>
      <c r="D626" s="2" t="s">
        <v>11</v>
      </c>
      <c r="E626" s="2" t="s">
        <v>12</v>
      </c>
      <c r="F626" s="2">
        <v>808.0</v>
      </c>
      <c r="G626" s="2">
        <v>5454.77</v>
      </c>
      <c r="H626" s="2">
        <v>4407451.0</v>
      </c>
      <c r="I626" s="2">
        <v>718.0</v>
      </c>
    </row>
    <row r="627" ht="15.75" customHeight="1">
      <c r="A627" s="2">
        <v>14.0</v>
      </c>
      <c r="B627" s="2" t="s">
        <v>42</v>
      </c>
      <c r="C627" s="2" t="s">
        <v>34</v>
      </c>
      <c r="D627" s="2" t="s">
        <v>11</v>
      </c>
      <c r="E627" s="2" t="s">
        <v>13</v>
      </c>
      <c r="F627" s="2">
        <v>169.0</v>
      </c>
      <c r="G627" s="2">
        <v>22397.74</v>
      </c>
      <c r="H627" s="2">
        <v>3785218.0</v>
      </c>
      <c r="I627" s="2">
        <v>155.0</v>
      </c>
    </row>
    <row r="628" ht="15.75" customHeight="1">
      <c r="A628" s="2">
        <v>14.0</v>
      </c>
      <c r="B628" s="2" t="s">
        <v>42</v>
      </c>
      <c r="C628" s="2" t="s">
        <v>34</v>
      </c>
      <c r="D628" s="2" t="s">
        <v>11</v>
      </c>
      <c r="E628" s="2" t="s">
        <v>14</v>
      </c>
      <c r="F628" s="2">
        <v>300.0</v>
      </c>
      <c r="G628" s="2">
        <v>6613.72</v>
      </c>
      <c r="H628" s="2">
        <v>1984117.0</v>
      </c>
      <c r="I628" s="2">
        <v>258.0</v>
      </c>
    </row>
    <row r="629" ht="15.75" customHeight="1">
      <c r="A629" s="2">
        <v>14.0</v>
      </c>
      <c r="B629" s="2" t="s">
        <v>42</v>
      </c>
      <c r="C629" s="2" t="s">
        <v>34</v>
      </c>
      <c r="D629" s="2" t="s">
        <v>11</v>
      </c>
      <c r="E629" s="2" t="s">
        <v>15</v>
      </c>
      <c r="F629" s="2">
        <v>935.0</v>
      </c>
      <c r="G629" s="2">
        <v>1105.84</v>
      </c>
      <c r="H629" s="2">
        <v>1033961.0</v>
      </c>
      <c r="I629" s="2">
        <v>705.0</v>
      </c>
    </row>
    <row r="630" ht="15.75" customHeight="1">
      <c r="A630" s="2">
        <v>14.0</v>
      </c>
      <c r="B630" s="2" t="s">
        <v>42</v>
      </c>
      <c r="C630" s="2" t="s">
        <v>34</v>
      </c>
      <c r="D630" s="2" t="s">
        <v>16</v>
      </c>
      <c r="E630" s="2" t="s">
        <v>12</v>
      </c>
      <c r="F630" s="2">
        <v>753.0</v>
      </c>
      <c r="G630" s="2">
        <v>5016.33</v>
      </c>
      <c r="H630" s="2">
        <v>3777294.0</v>
      </c>
      <c r="I630" s="2">
        <v>658.0</v>
      </c>
    </row>
    <row r="631" ht="15.75" customHeight="1">
      <c r="A631" s="2">
        <v>14.0</v>
      </c>
      <c r="B631" s="2" t="s">
        <v>42</v>
      </c>
      <c r="C631" s="2" t="s">
        <v>34</v>
      </c>
      <c r="D631" s="2" t="s">
        <v>16</v>
      </c>
      <c r="E631" s="2" t="s">
        <v>13</v>
      </c>
      <c r="F631" s="2">
        <v>248.0</v>
      </c>
      <c r="G631" s="2">
        <v>20091.35</v>
      </c>
      <c r="H631" s="2">
        <v>4982656.0</v>
      </c>
      <c r="I631" s="2">
        <v>175.0</v>
      </c>
    </row>
    <row r="632" ht="15.75" customHeight="1">
      <c r="A632" s="2">
        <v>14.0</v>
      </c>
      <c r="B632" s="2" t="s">
        <v>42</v>
      </c>
      <c r="C632" s="2" t="s">
        <v>34</v>
      </c>
      <c r="D632" s="2" t="s">
        <v>16</v>
      </c>
      <c r="E632" s="2" t="s">
        <v>14</v>
      </c>
      <c r="F632" s="2">
        <v>459.0</v>
      </c>
      <c r="G632" s="2">
        <v>6575.14</v>
      </c>
      <c r="H632" s="2">
        <v>3017990.0</v>
      </c>
      <c r="I632" s="2">
        <v>367.0</v>
      </c>
    </row>
    <row r="633" ht="15.75" customHeight="1">
      <c r="A633" s="2">
        <v>14.0</v>
      </c>
      <c r="B633" s="2" t="s">
        <v>42</v>
      </c>
      <c r="C633" s="2" t="s">
        <v>34</v>
      </c>
      <c r="D633" s="2" t="s">
        <v>16</v>
      </c>
      <c r="E633" s="2" t="s">
        <v>15</v>
      </c>
      <c r="F633" s="2">
        <v>982.0</v>
      </c>
      <c r="G633" s="2">
        <v>1081.92</v>
      </c>
      <c r="H633" s="2">
        <v>1062447.0</v>
      </c>
      <c r="I633" s="2">
        <v>805.0</v>
      </c>
    </row>
    <row r="634" ht="15.75" customHeight="1">
      <c r="A634" s="2">
        <v>14.0</v>
      </c>
      <c r="B634" s="2" t="s">
        <v>42</v>
      </c>
      <c r="C634" s="2" t="s">
        <v>34</v>
      </c>
      <c r="D634" s="2" t="s">
        <v>17</v>
      </c>
      <c r="E634" s="2" t="s">
        <v>12</v>
      </c>
      <c r="F634" s="2">
        <v>1125.0</v>
      </c>
      <c r="G634" s="2">
        <v>5192.46</v>
      </c>
      <c r="H634" s="2">
        <v>5841520.0</v>
      </c>
      <c r="I634" s="2">
        <v>850.0</v>
      </c>
    </row>
    <row r="635" ht="15.75" customHeight="1">
      <c r="A635" s="2">
        <v>14.0</v>
      </c>
      <c r="B635" s="2" t="s">
        <v>42</v>
      </c>
      <c r="C635" s="2" t="s">
        <v>34</v>
      </c>
      <c r="D635" s="2" t="s">
        <v>17</v>
      </c>
      <c r="E635" s="2" t="s">
        <v>13</v>
      </c>
      <c r="F635" s="2">
        <v>231.0</v>
      </c>
      <c r="G635" s="2">
        <v>21742.76</v>
      </c>
      <c r="H635" s="2">
        <v>5022577.0</v>
      </c>
      <c r="I635" s="2">
        <v>164.0</v>
      </c>
    </row>
    <row r="636" ht="15.75" customHeight="1">
      <c r="A636" s="2">
        <v>14.0</v>
      </c>
      <c r="B636" s="2" t="s">
        <v>42</v>
      </c>
      <c r="C636" s="2" t="s">
        <v>34</v>
      </c>
      <c r="D636" s="2" t="s">
        <v>17</v>
      </c>
      <c r="E636" s="2" t="s">
        <v>14</v>
      </c>
      <c r="F636" s="2">
        <v>223.0</v>
      </c>
      <c r="G636" s="2">
        <v>7007.22</v>
      </c>
      <c r="H636" s="2">
        <v>1562610.0</v>
      </c>
      <c r="I636" s="2">
        <v>171.0</v>
      </c>
    </row>
    <row r="637" ht="15.75" customHeight="1">
      <c r="A637" s="2">
        <v>14.0</v>
      </c>
      <c r="B637" s="2" t="s">
        <v>42</v>
      </c>
      <c r="C637" s="2" t="s">
        <v>34</v>
      </c>
      <c r="D637" s="2" t="s">
        <v>17</v>
      </c>
      <c r="E637" s="2" t="s">
        <v>15</v>
      </c>
      <c r="F637" s="2">
        <v>459.0</v>
      </c>
      <c r="G637" s="2">
        <v>1259.25</v>
      </c>
      <c r="H637" s="2">
        <v>577997.0</v>
      </c>
      <c r="I637" s="2">
        <v>358.0</v>
      </c>
    </row>
    <row r="638" ht="15.75" customHeight="1">
      <c r="A638" s="2">
        <v>14.0</v>
      </c>
      <c r="B638" s="2" t="s">
        <v>42</v>
      </c>
      <c r="C638" s="2" t="s">
        <v>34</v>
      </c>
      <c r="D638" s="2" t="s">
        <v>18</v>
      </c>
      <c r="E638" s="2" t="s">
        <v>12</v>
      </c>
      <c r="F638" s="2">
        <v>918.0</v>
      </c>
      <c r="G638" s="2">
        <v>5523.18</v>
      </c>
      <c r="H638" s="2">
        <v>5070280.0</v>
      </c>
      <c r="I638" s="2">
        <v>805.0</v>
      </c>
    </row>
    <row r="639" ht="15.75" customHeight="1">
      <c r="A639" s="2">
        <v>14.0</v>
      </c>
      <c r="B639" s="2" t="s">
        <v>42</v>
      </c>
      <c r="C639" s="2" t="s">
        <v>34</v>
      </c>
      <c r="D639" s="2" t="s">
        <v>18</v>
      </c>
      <c r="E639" s="2" t="s">
        <v>13</v>
      </c>
      <c r="F639" s="2">
        <v>199.0</v>
      </c>
      <c r="G639" s="2">
        <v>20980.59</v>
      </c>
      <c r="H639" s="2">
        <v>4175137.0</v>
      </c>
      <c r="I639" s="2">
        <v>165.0</v>
      </c>
    </row>
    <row r="640" ht="15.75" customHeight="1">
      <c r="A640" s="2">
        <v>14.0</v>
      </c>
      <c r="B640" s="2" t="s">
        <v>42</v>
      </c>
      <c r="C640" s="2" t="s">
        <v>34</v>
      </c>
      <c r="D640" s="2" t="s">
        <v>18</v>
      </c>
      <c r="E640" s="2" t="s">
        <v>14</v>
      </c>
      <c r="F640" s="2">
        <v>372.0</v>
      </c>
      <c r="G640" s="2">
        <v>6570.46</v>
      </c>
      <c r="H640" s="2">
        <v>2444212.0</v>
      </c>
      <c r="I640" s="2">
        <v>300.0</v>
      </c>
    </row>
    <row r="641" ht="15.75" customHeight="1">
      <c r="A641" s="2">
        <v>14.0</v>
      </c>
      <c r="B641" s="2" t="s">
        <v>42</v>
      </c>
      <c r="C641" s="2" t="s">
        <v>34</v>
      </c>
      <c r="D641" s="2" t="s">
        <v>18</v>
      </c>
      <c r="E641" s="2" t="s">
        <v>15</v>
      </c>
      <c r="F641" s="2">
        <v>545.0</v>
      </c>
      <c r="G641" s="2">
        <v>1111.4</v>
      </c>
      <c r="H641" s="2">
        <v>605711.0</v>
      </c>
      <c r="I641" s="2">
        <v>432.0</v>
      </c>
    </row>
    <row r="642" ht="15.75" customHeight="1">
      <c r="A642" s="2">
        <v>14.0</v>
      </c>
      <c r="B642" s="2" t="s">
        <v>42</v>
      </c>
      <c r="C642" s="2" t="s">
        <v>34</v>
      </c>
      <c r="D642" s="2" t="s">
        <v>19</v>
      </c>
      <c r="E642" s="2" t="s">
        <v>12</v>
      </c>
      <c r="F642" s="2">
        <v>712.0</v>
      </c>
      <c r="G642" s="2">
        <v>5602.69</v>
      </c>
      <c r="H642" s="2">
        <v>3989115.0</v>
      </c>
      <c r="I642" s="2">
        <v>676.0</v>
      </c>
    </row>
    <row r="643" ht="15.75" customHeight="1">
      <c r="A643" s="2">
        <v>14.0</v>
      </c>
      <c r="B643" s="2" t="s">
        <v>42</v>
      </c>
      <c r="C643" s="2" t="s">
        <v>34</v>
      </c>
      <c r="D643" s="2" t="s">
        <v>19</v>
      </c>
      <c r="E643" s="2" t="s">
        <v>13</v>
      </c>
      <c r="F643" s="2">
        <v>217.0</v>
      </c>
      <c r="G643" s="2">
        <v>22004.65</v>
      </c>
      <c r="H643" s="2">
        <v>4775009.0</v>
      </c>
      <c r="I643" s="2">
        <v>186.0</v>
      </c>
    </row>
    <row r="644" ht="15.75" customHeight="1">
      <c r="A644" s="2">
        <v>14.0</v>
      </c>
      <c r="B644" s="2" t="s">
        <v>42</v>
      </c>
      <c r="C644" s="2" t="s">
        <v>34</v>
      </c>
      <c r="D644" s="2" t="s">
        <v>19</v>
      </c>
      <c r="E644" s="2" t="s">
        <v>14</v>
      </c>
      <c r="F644" s="2">
        <v>397.0</v>
      </c>
      <c r="G644" s="2">
        <v>7066.31</v>
      </c>
      <c r="H644" s="2">
        <v>2805325.0</v>
      </c>
      <c r="I644" s="2">
        <v>289.0</v>
      </c>
    </row>
    <row r="645" ht="15.75" customHeight="1">
      <c r="A645" s="2">
        <v>14.0</v>
      </c>
      <c r="B645" s="2" t="s">
        <v>42</v>
      </c>
      <c r="C645" s="2" t="s">
        <v>34</v>
      </c>
      <c r="D645" s="2" t="s">
        <v>19</v>
      </c>
      <c r="E645" s="2" t="s">
        <v>15</v>
      </c>
      <c r="F645" s="2">
        <v>1109.0</v>
      </c>
      <c r="G645" s="2">
        <v>1258.21</v>
      </c>
      <c r="H645" s="2">
        <v>1395355.0</v>
      </c>
      <c r="I645" s="2">
        <v>1051.0</v>
      </c>
    </row>
    <row r="646" ht="15.75" customHeight="1">
      <c r="A646" s="2">
        <v>14.0</v>
      </c>
      <c r="B646" s="2" t="s">
        <v>42</v>
      </c>
      <c r="C646" s="2" t="s">
        <v>34</v>
      </c>
      <c r="D646" s="2" t="s">
        <v>20</v>
      </c>
      <c r="E646" s="2" t="s">
        <v>12</v>
      </c>
      <c r="F646" s="2">
        <v>723.0</v>
      </c>
      <c r="G646" s="2">
        <v>5539.73</v>
      </c>
      <c r="H646" s="2">
        <v>4005224.0</v>
      </c>
      <c r="I646" s="2">
        <v>612.0</v>
      </c>
    </row>
    <row r="647" ht="15.75" customHeight="1">
      <c r="A647" s="2">
        <v>14.0</v>
      </c>
      <c r="B647" s="2" t="s">
        <v>42</v>
      </c>
      <c r="C647" s="2" t="s">
        <v>34</v>
      </c>
      <c r="D647" s="2" t="s">
        <v>20</v>
      </c>
      <c r="E647" s="2" t="s">
        <v>13</v>
      </c>
      <c r="F647" s="2">
        <v>160.0</v>
      </c>
      <c r="G647" s="2">
        <v>19950.11</v>
      </c>
      <c r="H647" s="2">
        <v>3192018.0</v>
      </c>
      <c r="I647" s="2">
        <v>151.0</v>
      </c>
    </row>
    <row r="648" ht="15.75" customHeight="1">
      <c r="A648" s="2">
        <v>14.0</v>
      </c>
      <c r="B648" s="2" t="s">
        <v>42</v>
      </c>
      <c r="C648" s="2" t="s">
        <v>34</v>
      </c>
      <c r="D648" s="2" t="s">
        <v>20</v>
      </c>
      <c r="E648" s="2" t="s">
        <v>14</v>
      </c>
      <c r="F648" s="2">
        <v>458.0</v>
      </c>
      <c r="G648" s="2">
        <v>6541.67</v>
      </c>
      <c r="H648" s="2">
        <v>2996083.0</v>
      </c>
      <c r="I648" s="2">
        <v>379.0</v>
      </c>
    </row>
    <row r="649" ht="15.75" customHeight="1">
      <c r="A649" s="2">
        <v>14.0</v>
      </c>
      <c r="B649" s="2" t="s">
        <v>42</v>
      </c>
      <c r="C649" s="2" t="s">
        <v>34</v>
      </c>
      <c r="D649" s="2" t="s">
        <v>20</v>
      </c>
      <c r="E649" s="2" t="s">
        <v>15</v>
      </c>
      <c r="F649" s="2">
        <v>962.0</v>
      </c>
      <c r="G649" s="2">
        <v>1277.14</v>
      </c>
      <c r="H649" s="2">
        <v>1228612.0</v>
      </c>
      <c r="I649" s="2">
        <v>899.0</v>
      </c>
    </row>
    <row r="650" ht="15.75" customHeight="1">
      <c r="A650" s="2">
        <v>14.0</v>
      </c>
      <c r="B650" s="2" t="s">
        <v>42</v>
      </c>
      <c r="C650" s="2" t="s">
        <v>34</v>
      </c>
      <c r="D650" s="2" t="s">
        <v>21</v>
      </c>
      <c r="E650" s="2" t="s">
        <v>12</v>
      </c>
      <c r="F650" s="2">
        <v>1025.0</v>
      </c>
      <c r="G650" s="2">
        <v>5217.72</v>
      </c>
      <c r="H650" s="2">
        <v>5348159.0</v>
      </c>
      <c r="I650" s="2">
        <v>814.0</v>
      </c>
    </row>
    <row r="651" ht="15.75" customHeight="1">
      <c r="A651" s="2">
        <v>14.0</v>
      </c>
      <c r="B651" s="2" t="s">
        <v>42</v>
      </c>
      <c r="C651" s="2" t="s">
        <v>34</v>
      </c>
      <c r="D651" s="2" t="s">
        <v>21</v>
      </c>
      <c r="E651" s="2" t="s">
        <v>13</v>
      </c>
      <c r="F651" s="2">
        <v>163.0</v>
      </c>
      <c r="G651" s="2">
        <v>21923.0</v>
      </c>
      <c r="H651" s="2">
        <v>3573449.0</v>
      </c>
      <c r="I651" s="2">
        <v>121.0</v>
      </c>
    </row>
    <row r="652" ht="15.75" customHeight="1">
      <c r="A652" s="2">
        <v>14.0</v>
      </c>
      <c r="B652" s="2" t="s">
        <v>42</v>
      </c>
      <c r="C652" s="2" t="s">
        <v>34</v>
      </c>
      <c r="D652" s="2" t="s">
        <v>21</v>
      </c>
      <c r="E652" s="2" t="s">
        <v>14</v>
      </c>
      <c r="F652" s="2">
        <v>248.0</v>
      </c>
      <c r="G652" s="2">
        <v>6908.16</v>
      </c>
      <c r="H652" s="2">
        <v>1713223.0</v>
      </c>
      <c r="I652" s="2">
        <v>217.0</v>
      </c>
    </row>
    <row r="653" ht="15.75" customHeight="1">
      <c r="A653" s="2">
        <v>14.0</v>
      </c>
      <c r="B653" s="2" t="s">
        <v>42</v>
      </c>
      <c r="C653" s="2" t="s">
        <v>34</v>
      </c>
      <c r="D653" s="2" t="s">
        <v>21</v>
      </c>
      <c r="E653" s="2" t="s">
        <v>15</v>
      </c>
      <c r="F653" s="2">
        <v>1001.0</v>
      </c>
      <c r="G653" s="2">
        <v>1189.72</v>
      </c>
      <c r="H653" s="2">
        <v>1190906.0</v>
      </c>
      <c r="I653" s="2">
        <v>720.0</v>
      </c>
    </row>
    <row r="654" ht="15.75" customHeight="1">
      <c r="A654" s="2">
        <v>14.0</v>
      </c>
      <c r="B654" s="2" t="s">
        <v>42</v>
      </c>
      <c r="C654" s="2" t="s">
        <v>34</v>
      </c>
      <c r="D654" s="2" t="s">
        <v>22</v>
      </c>
      <c r="E654" s="2" t="s">
        <v>12</v>
      </c>
      <c r="F654" s="2">
        <v>894.0</v>
      </c>
      <c r="G654" s="2">
        <v>4725.74</v>
      </c>
      <c r="H654" s="2">
        <v>4224815.0</v>
      </c>
      <c r="I654" s="2">
        <v>788.0</v>
      </c>
    </row>
    <row r="655" ht="15.75" customHeight="1">
      <c r="A655" s="2">
        <v>14.0</v>
      </c>
      <c r="B655" s="2" t="s">
        <v>42</v>
      </c>
      <c r="C655" s="2" t="s">
        <v>34</v>
      </c>
      <c r="D655" s="2" t="s">
        <v>22</v>
      </c>
      <c r="E655" s="2" t="s">
        <v>13</v>
      </c>
      <c r="F655" s="2">
        <v>169.0</v>
      </c>
      <c r="G655" s="2">
        <v>21371.28</v>
      </c>
      <c r="H655" s="2">
        <v>3611746.0</v>
      </c>
      <c r="I655" s="2">
        <v>120.0</v>
      </c>
    </row>
    <row r="656" ht="15.75" customHeight="1">
      <c r="A656" s="2">
        <v>14.0</v>
      </c>
      <c r="B656" s="2" t="s">
        <v>42</v>
      </c>
      <c r="C656" s="2" t="s">
        <v>34</v>
      </c>
      <c r="D656" s="2" t="s">
        <v>22</v>
      </c>
      <c r="E656" s="2" t="s">
        <v>14</v>
      </c>
      <c r="F656" s="2">
        <v>373.0</v>
      </c>
      <c r="G656" s="2">
        <v>6400.48</v>
      </c>
      <c r="H656" s="2">
        <v>2387381.0</v>
      </c>
      <c r="I656" s="2">
        <v>331.0</v>
      </c>
    </row>
    <row r="657" ht="15.75" customHeight="1">
      <c r="A657" s="2">
        <v>14.0</v>
      </c>
      <c r="B657" s="2" t="s">
        <v>42</v>
      </c>
      <c r="C657" s="2" t="s">
        <v>34</v>
      </c>
      <c r="D657" s="2" t="s">
        <v>22</v>
      </c>
      <c r="E657" s="2" t="s">
        <v>15</v>
      </c>
      <c r="F657" s="2">
        <v>1063.0</v>
      </c>
      <c r="G657" s="2">
        <v>1230.18</v>
      </c>
      <c r="H657" s="2">
        <v>1307680.0</v>
      </c>
      <c r="I657" s="2">
        <v>869.0</v>
      </c>
    </row>
    <row r="658" ht="15.75" customHeight="1">
      <c r="A658" s="2">
        <v>14.0</v>
      </c>
      <c r="B658" s="2" t="s">
        <v>42</v>
      </c>
      <c r="C658" s="2" t="s">
        <v>34</v>
      </c>
      <c r="D658" s="2" t="s">
        <v>23</v>
      </c>
      <c r="E658" s="2" t="s">
        <v>12</v>
      </c>
      <c r="F658" s="2">
        <v>1007.0</v>
      </c>
      <c r="G658" s="2">
        <v>5279.97</v>
      </c>
      <c r="H658" s="2">
        <v>5316929.0</v>
      </c>
      <c r="I658" s="2">
        <v>770.0</v>
      </c>
    </row>
    <row r="659" ht="15.75" customHeight="1">
      <c r="A659" s="2">
        <v>14.0</v>
      </c>
      <c r="B659" s="2" t="s">
        <v>42</v>
      </c>
      <c r="C659" s="2" t="s">
        <v>34</v>
      </c>
      <c r="D659" s="2" t="s">
        <v>23</v>
      </c>
      <c r="E659" s="2" t="s">
        <v>13</v>
      </c>
      <c r="F659" s="2">
        <v>113.0</v>
      </c>
      <c r="G659" s="2">
        <v>21337.06</v>
      </c>
      <c r="H659" s="2">
        <v>2411088.0</v>
      </c>
      <c r="I659" s="2">
        <v>86.0</v>
      </c>
    </row>
    <row r="660" ht="15.75" customHeight="1">
      <c r="A660" s="2">
        <v>14.0</v>
      </c>
      <c r="B660" s="2" t="s">
        <v>42</v>
      </c>
      <c r="C660" s="2" t="s">
        <v>34</v>
      </c>
      <c r="D660" s="2" t="s">
        <v>23</v>
      </c>
      <c r="E660" s="2" t="s">
        <v>14</v>
      </c>
      <c r="F660" s="2">
        <v>381.0</v>
      </c>
      <c r="G660" s="2">
        <v>7048.07</v>
      </c>
      <c r="H660" s="2">
        <v>2685313.0</v>
      </c>
      <c r="I660" s="2">
        <v>292.0</v>
      </c>
    </row>
    <row r="661" ht="15.75" customHeight="1">
      <c r="A661" s="2">
        <v>14.0</v>
      </c>
      <c r="B661" s="2" t="s">
        <v>42</v>
      </c>
      <c r="C661" s="2" t="s">
        <v>34</v>
      </c>
      <c r="D661" s="2" t="s">
        <v>23</v>
      </c>
      <c r="E661" s="2" t="s">
        <v>15</v>
      </c>
      <c r="F661" s="2">
        <v>627.0</v>
      </c>
      <c r="G661" s="2">
        <v>1176.07</v>
      </c>
      <c r="H661" s="2">
        <v>737396.0</v>
      </c>
      <c r="I661" s="2">
        <v>444.0</v>
      </c>
    </row>
    <row r="662" ht="15.75" customHeight="1">
      <c r="A662" s="2">
        <v>14.0</v>
      </c>
      <c r="B662" s="2" t="s">
        <v>42</v>
      </c>
      <c r="C662" s="2" t="s">
        <v>34</v>
      </c>
      <c r="D662" s="2" t="s">
        <v>24</v>
      </c>
      <c r="E662" s="2" t="s">
        <v>12</v>
      </c>
      <c r="F662" s="2">
        <v>1195.0</v>
      </c>
      <c r="G662" s="2">
        <v>5510.61</v>
      </c>
      <c r="H662" s="2">
        <v>6585181.0</v>
      </c>
      <c r="I662" s="2">
        <v>939.0</v>
      </c>
    </row>
    <row r="663" ht="15.75" customHeight="1">
      <c r="A663" s="2">
        <v>14.0</v>
      </c>
      <c r="B663" s="2" t="s">
        <v>42</v>
      </c>
      <c r="C663" s="2" t="s">
        <v>34</v>
      </c>
      <c r="D663" s="2" t="s">
        <v>24</v>
      </c>
      <c r="E663" s="2" t="s">
        <v>13</v>
      </c>
      <c r="F663" s="2">
        <v>106.0</v>
      </c>
      <c r="G663" s="2">
        <v>23126.64</v>
      </c>
      <c r="H663" s="2">
        <v>2451424.0</v>
      </c>
      <c r="I663" s="2">
        <v>76.0</v>
      </c>
    </row>
    <row r="664" ht="15.75" customHeight="1">
      <c r="A664" s="2">
        <v>14.0</v>
      </c>
      <c r="B664" s="2" t="s">
        <v>42</v>
      </c>
      <c r="C664" s="2" t="s">
        <v>34</v>
      </c>
      <c r="D664" s="2" t="s">
        <v>24</v>
      </c>
      <c r="E664" s="2" t="s">
        <v>14</v>
      </c>
      <c r="F664" s="2">
        <v>359.0</v>
      </c>
      <c r="G664" s="2">
        <v>6774.12</v>
      </c>
      <c r="H664" s="2">
        <v>2431910.0</v>
      </c>
      <c r="I664" s="2">
        <v>301.0</v>
      </c>
    </row>
    <row r="665" ht="15.75" customHeight="1">
      <c r="A665" s="2">
        <v>14.0</v>
      </c>
      <c r="B665" s="2" t="s">
        <v>42</v>
      </c>
      <c r="C665" s="2" t="s">
        <v>34</v>
      </c>
      <c r="D665" s="2" t="s">
        <v>24</v>
      </c>
      <c r="E665" s="2" t="s">
        <v>15</v>
      </c>
      <c r="F665" s="2">
        <v>598.0</v>
      </c>
      <c r="G665" s="2">
        <v>1208.73</v>
      </c>
      <c r="H665" s="2">
        <v>722822.0</v>
      </c>
      <c r="I665" s="2">
        <v>477.0</v>
      </c>
    </row>
    <row r="666" ht="15.75" customHeight="1">
      <c r="A666" s="2">
        <v>14.0</v>
      </c>
      <c r="B666" s="2" t="s">
        <v>42</v>
      </c>
      <c r="C666" s="2" t="s">
        <v>34</v>
      </c>
      <c r="D666" s="2" t="s">
        <v>25</v>
      </c>
      <c r="E666" s="2" t="s">
        <v>12</v>
      </c>
      <c r="F666" s="2">
        <v>1091.0</v>
      </c>
      <c r="G666" s="2">
        <v>5408.49</v>
      </c>
      <c r="H666" s="2">
        <v>5900666.0</v>
      </c>
      <c r="I666" s="2">
        <v>898.0</v>
      </c>
    </row>
    <row r="667" ht="15.75" customHeight="1">
      <c r="A667" s="2">
        <v>14.0</v>
      </c>
      <c r="B667" s="2" t="s">
        <v>42</v>
      </c>
      <c r="C667" s="2" t="s">
        <v>34</v>
      </c>
      <c r="D667" s="2" t="s">
        <v>25</v>
      </c>
      <c r="E667" s="2" t="s">
        <v>13</v>
      </c>
      <c r="F667" s="2">
        <v>120.0</v>
      </c>
      <c r="G667" s="2">
        <v>22503.49</v>
      </c>
      <c r="H667" s="2">
        <v>2700418.0</v>
      </c>
      <c r="I667" s="2">
        <v>91.0</v>
      </c>
    </row>
    <row r="668" ht="15.75" customHeight="1">
      <c r="A668" s="2">
        <v>14.0</v>
      </c>
      <c r="B668" s="2" t="s">
        <v>42</v>
      </c>
      <c r="C668" s="2" t="s">
        <v>34</v>
      </c>
      <c r="D668" s="2" t="s">
        <v>25</v>
      </c>
      <c r="E668" s="2" t="s">
        <v>14</v>
      </c>
      <c r="F668" s="2">
        <v>330.0</v>
      </c>
      <c r="G668" s="2">
        <v>6448.68</v>
      </c>
      <c r="H668" s="2">
        <v>2128063.0</v>
      </c>
      <c r="I668" s="2">
        <v>258.0</v>
      </c>
    </row>
    <row r="669" ht="15.75" customHeight="1">
      <c r="A669" s="2">
        <v>14.0</v>
      </c>
      <c r="B669" s="2" t="s">
        <v>42</v>
      </c>
      <c r="C669" s="2" t="s">
        <v>34</v>
      </c>
      <c r="D669" s="2" t="s">
        <v>25</v>
      </c>
      <c r="E669" s="2" t="s">
        <v>15</v>
      </c>
      <c r="F669" s="2">
        <v>770.0</v>
      </c>
      <c r="G669" s="2">
        <v>1261.08</v>
      </c>
      <c r="H669" s="2">
        <v>971032.0</v>
      </c>
      <c r="I669" s="2">
        <v>726.0</v>
      </c>
    </row>
    <row r="670" ht="15.75" customHeight="1">
      <c r="A670" s="2">
        <v>14.0</v>
      </c>
      <c r="B670" s="2" t="s">
        <v>42</v>
      </c>
      <c r="C670" s="2" t="s">
        <v>34</v>
      </c>
      <c r="D670" s="2" t="s">
        <v>26</v>
      </c>
      <c r="E670" s="2" t="s">
        <v>12</v>
      </c>
      <c r="F670" s="2">
        <v>983.0</v>
      </c>
      <c r="G670" s="2">
        <v>5135.38</v>
      </c>
      <c r="H670" s="2">
        <v>5048075.0</v>
      </c>
      <c r="I670" s="2">
        <v>856.0</v>
      </c>
    </row>
    <row r="671" ht="15.75" customHeight="1">
      <c r="A671" s="2">
        <v>14.0</v>
      </c>
      <c r="B671" s="2" t="s">
        <v>42</v>
      </c>
      <c r="C671" s="2" t="s">
        <v>34</v>
      </c>
      <c r="D671" s="2" t="s">
        <v>26</v>
      </c>
      <c r="E671" s="2" t="s">
        <v>13</v>
      </c>
      <c r="F671" s="2">
        <v>132.0</v>
      </c>
      <c r="G671" s="2">
        <v>21368.66</v>
      </c>
      <c r="H671" s="2">
        <v>2820663.0</v>
      </c>
      <c r="I671" s="2">
        <v>109.0</v>
      </c>
    </row>
    <row r="672" ht="15.75" customHeight="1">
      <c r="A672" s="2">
        <v>14.0</v>
      </c>
      <c r="B672" s="2" t="s">
        <v>42</v>
      </c>
      <c r="C672" s="2" t="s">
        <v>34</v>
      </c>
      <c r="D672" s="2" t="s">
        <v>26</v>
      </c>
      <c r="E672" s="2" t="s">
        <v>14</v>
      </c>
      <c r="F672" s="2">
        <v>260.0</v>
      </c>
      <c r="G672" s="2">
        <v>6552.41</v>
      </c>
      <c r="H672" s="2">
        <v>1703626.0</v>
      </c>
      <c r="I672" s="2">
        <v>217.0</v>
      </c>
    </row>
    <row r="673" ht="15.75" customHeight="1">
      <c r="A673" s="2">
        <v>14.0</v>
      </c>
      <c r="B673" s="2" t="s">
        <v>42</v>
      </c>
      <c r="C673" s="2" t="s">
        <v>34</v>
      </c>
      <c r="D673" s="2" t="s">
        <v>26</v>
      </c>
      <c r="E673" s="2" t="s">
        <v>15</v>
      </c>
      <c r="F673" s="2">
        <v>822.0</v>
      </c>
      <c r="G673" s="2">
        <v>1060.34</v>
      </c>
      <c r="H673" s="2">
        <v>871597.0</v>
      </c>
      <c r="I673" s="2">
        <v>720.0</v>
      </c>
    </row>
    <row r="674" ht="15.75" customHeight="1">
      <c r="A674" s="2">
        <v>15.0</v>
      </c>
      <c r="B674" s="2" t="s">
        <v>43</v>
      </c>
      <c r="C674" s="2" t="s">
        <v>10</v>
      </c>
      <c r="D674" s="2" t="s">
        <v>11</v>
      </c>
      <c r="E674" s="2" t="s">
        <v>12</v>
      </c>
      <c r="F674" s="2">
        <v>1128.0</v>
      </c>
      <c r="G674" s="2">
        <v>5032.43</v>
      </c>
      <c r="H674" s="2">
        <v>5676576.0</v>
      </c>
      <c r="I674" s="2">
        <v>1028.0</v>
      </c>
    </row>
    <row r="675" ht="15.75" customHeight="1">
      <c r="A675" s="2">
        <v>15.0</v>
      </c>
      <c r="B675" s="2" t="s">
        <v>43</v>
      </c>
      <c r="C675" s="2" t="s">
        <v>10</v>
      </c>
      <c r="D675" s="2" t="s">
        <v>11</v>
      </c>
      <c r="E675" s="2" t="s">
        <v>13</v>
      </c>
      <c r="F675" s="2">
        <v>173.0</v>
      </c>
      <c r="G675" s="2">
        <v>21941.25</v>
      </c>
      <c r="H675" s="2">
        <v>3795836.0</v>
      </c>
      <c r="I675" s="2">
        <v>128.0</v>
      </c>
    </row>
    <row r="676" ht="15.75" customHeight="1">
      <c r="A676" s="2">
        <v>15.0</v>
      </c>
      <c r="B676" s="2" t="s">
        <v>43</v>
      </c>
      <c r="C676" s="2" t="s">
        <v>10</v>
      </c>
      <c r="D676" s="2" t="s">
        <v>11</v>
      </c>
      <c r="E676" s="2" t="s">
        <v>14</v>
      </c>
      <c r="F676" s="2">
        <v>201.0</v>
      </c>
      <c r="G676" s="2">
        <v>6362.71</v>
      </c>
      <c r="H676" s="2">
        <v>1278905.0</v>
      </c>
      <c r="I676" s="2">
        <v>145.0</v>
      </c>
    </row>
    <row r="677" ht="15.75" customHeight="1">
      <c r="A677" s="2">
        <v>15.0</v>
      </c>
      <c r="B677" s="2" t="s">
        <v>43</v>
      </c>
      <c r="C677" s="2" t="s">
        <v>10</v>
      </c>
      <c r="D677" s="2" t="s">
        <v>11</v>
      </c>
      <c r="E677" s="2" t="s">
        <v>15</v>
      </c>
      <c r="F677" s="2">
        <v>543.0</v>
      </c>
      <c r="G677" s="2">
        <v>1265.02</v>
      </c>
      <c r="H677" s="2">
        <v>686905.0</v>
      </c>
      <c r="I677" s="2">
        <v>435.0</v>
      </c>
    </row>
    <row r="678" ht="15.75" customHeight="1">
      <c r="A678" s="2">
        <v>15.0</v>
      </c>
      <c r="B678" s="2" t="s">
        <v>43</v>
      </c>
      <c r="C678" s="2" t="s">
        <v>10</v>
      </c>
      <c r="D678" s="2" t="s">
        <v>16</v>
      </c>
      <c r="E678" s="2" t="s">
        <v>12</v>
      </c>
      <c r="F678" s="2">
        <v>685.0</v>
      </c>
      <c r="G678" s="2">
        <v>5488.9</v>
      </c>
      <c r="H678" s="2">
        <v>3759895.0</v>
      </c>
      <c r="I678" s="2">
        <v>498.0</v>
      </c>
    </row>
    <row r="679" ht="15.75" customHeight="1">
      <c r="A679" s="2">
        <v>15.0</v>
      </c>
      <c r="B679" s="2" t="s">
        <v>43</v>
      </c>
      <c r="C679" s="2" t="s">
        <v>10</v>
      </c>
      <c r="D679" s="2" t="s">
        <v>16</v>
      </c>
      <c r="E679" s="2" t="s">
        <v>13</v>
      </c>
      <c r="F679" s="2">
        <v>158.0</v>
      </c>
      <c r="G679" s="2">
        <v>20948.62</v>
      </c>
      <c r="H679" s="2">
        <v>3309881.0</v>
      </c>
      <c r="I679" s="2">
        <v>128.0</v>
      </c>
    </row>
    <row r="680" ht="15.75" customHeight="1">
      <c r="A680" s="2">
        <v>15.0</v>
      </c>
      <c r="B680" s="2" t="s">
        <v>43</v>
      </c>
      <c r="C680" s="2" t="s">
        <v>10</v>
      </c>
      <c r="D680" s="2" t="s">
        <v>16</v>
      </c>
      <c r="E680" s="2" t="s">
        <v>14</v>
      </c>
      <c r="F680" s="2">
        <v>391.0</v>
      </c>
      <c r="G680" s="2">
        <v>6695.92</v>
      </c>
      <c r="H680" s="2">
        <v>2618104.0</v>
      </c>
      <c r="I680" s="2">
        <v>306.0</v>
      </c>
    </row>
    <row r="681" ht="15.75" customHeight="1">
      <c r="A681" s="2">
        <v>15.0</v>
      </c>
      <c r="B681" s="2" t="s">
        <v>43</v>
      </c>
      <c r="C681" s="2" t="s">
        <v>10</v>
      </c>
      <c r="D681" s="2" t="s">
        <v>16</v>
      </c>
      <c r="E681" s="2" t="s">
        <v>15</v>
      </c>
      <c r="F681" s="2">
        <v>676.0</v>
      </c>
      <c r="G681" s="2">
        <v>1345.74</v>
      </c>
      <c r="H681" s="2">
        <v>909717.0</v>
      </c>
      <c r="I681" s="2">
        <v>501.0</v>
      </c>
    </row>
    <row r="682" ht="15.75" customHeight="1">
      <c r="A682" s="2">
        <v>15.0</v>
      </c>
      <c r="B682" s="2" t="s">
        <v>43</v>
      </c>
      <c r="C682" s="2" t="s">
        <v>10</v>
      </c>
      <c r="D682" s="2" t="s">
        <v>17</v>
      </c>
      <c r="E682" s="2" t="s">
        <v>12</v>
      </c>
      <c r="F682" s="2">
        <v>982.0</v>
      </c>
      <c r="G682" s="2">
        <v>5459.09</v>
      </c>
      <c r="H682" s="2">
        <v>5360824.0</v>
      </c>
      <c r="I682" s="2">
        <v>691.0</v>
      </c>
    </row>
    <row r="683" ht="15.75" customHeight="1">
      <c r="A683" s="2">
        <v>15.0</v>
      </c>
      <c r="B683" s="2" t="s">
        <v>43</v>
      </c>
      <c r="C683" s="2" t="s">
        <v>10</v>
      </c>
      <c r="D683" s="2" t="s">
        <v>17</v>
      </c>
      <c r="E683" s="2" t="s">
        <v>13</v>
      </c>
      <c r="F683" s="2">
        <v>178.0</v>
      </c>
      <c r="G683" s="2">
        <v>22147.16</v>
      </c>
      <c r="H683" s="2">
        <v>3942195.0</v>
      </c>
      <c r="I683" s="2">
        <v>163.0</v>
      </c>
    </row>
    <row r="684" ht="15.75" customHeight="1">
      <c r="A684" s="2">
        <v>15.0</v>
      </c>
      <c r="B684" s="2" t="s">
        <v>43</v>
      </c>
      <c r="C684" s="2" t="s">
        <v>10</v>
      </c>
      <c r="D684" s="2" t="s">
        <v>17</v>
      </c>
      <c r="E684" s="2" t="s">
        <v>14</v>
      </c>
      <c r="F684" s="2">
        <v>291.0</v>
      </c>
      <c r="G684" s="2">
        <v>7174.78</v>
      </c>
      <c r="H684" s="2">
        <v>2087860.0</v>
      </c>
      <c r="I684" s="2">
        <v>244.0</v>
      </c>
    </row>
    <row r="685" ht="15.75" customHeight="1">
      <c r="A685" s="2">
        <v>15.0</v>
      </c>
      <c r="B685" s="2" t="s">
        <v>43</v>
      </c>
      <c r="C685" s="2" t="s">
        <v>10</v>
      </c>
      <c r="D685" s="2" t="s">
        <v>17</v>
      </c>
      <c r="E685" s="2" t="s">
        <v>15</v>
      </c>
      <c r="F685" s="2">
        <v>465.0</v>
      </c>
      <c r="G685" s="2">
        <v>1237.99</v>
      </c>
      <c r="H685" s="2">
        <v>575664.0</v>
      </c>
      <c r="I685" s="2">
        <v>333.0</v>
      </c>
    </row>
    <row r="686" ht="15.75" customHeight="1">
      <c r="A686" s="2">
        <v>15.0</v>
      </c>
      <c r="B686" s="2" t="s">
        <v>43</v>
      </c>
      <c r="C686" s="2" t="s">
        <v>10</v>
      </c>
      <c r="D686" s="2" t="s">
        <v>18</v>
      </c>
      <c r="E686" s="2" t="s">
        <v>12</v>
      </c>
      <c r="F686" s="2">
        <v>853.0</v>
      </c>
      <c r="G686" s="2">
        <v>5043.41</v>
      </c>
      <c r="H686" s="2">
        <v>4302031.0</v>
      </c>
      <c r="I686" s="2">
        <v>680.0</v>
      </c>
    </row>
    <row r="687" ht="15.75" customHeight="1">
      <c r="A687" s="2">
        <v>15.0</v>
      </c>
      <c r="B687" s="2" t="s">
        <v>43</v>
      </c>
      <c r="C687" s="2" t="s">
        <v>10</v>
      </c>
      <c r="D687" s="2" t="s">
        <v>18</v>
      </c>
      <c r="E687" s="2" t="s">
        <v>13</v>
      </c>
      <c r="F687" s="2">
        <v>105.0</v>
      </c>
      <c r="G687" s="2">
        <v>20762.5</v>
      </c>
      <c r="H687" s="2">
        <v>2180063.0</v>
      </c>
      <c r="I687" s="2">
        <v>83.0</v>
      </c>
    </row>
    <row r="688" ht="15.75" customHeight="1">
      <c r="A688" s="2">
        <v>15.0</v>
      </c>
      <c r="B688" s="2" t="s">
        <v>43</v>
      </c>
      <c r="C688" s="2" t="s">
        <v>10</v>
      </c>
      <c r="D688" s="2" t="s">
        <v>18</v>
      </c>
      <c r="E688" s="2" t="s">
        <v>14</v>
      </c>
      <c r="F688" s="2">
        <v>478.0</v>
      </c>
      <c r="G688" s="2">
        <v>6572.09</v>
      </c>
      <c r="H688" s="2">
        <v>3141460.0</v>
      </c>
      <c r="I688" s="2">
        <v>427.0</v>
      </c>
    </row>
    <row r="689" ht="15.75" customHeight="1">
      <c r="A689" s="2">
        <v>15.0</v>
      </c>
      <c r="B689" s="2" t="s">
        <v>43</v>
      </c>
      <c r="C689" s="2" t="s">
        <v>10</v>
      </c>
      <c r="D689" s="2" t="s">
        <v>18</v>
      </c>
      <c r="E689" s="2" t="s">
        <v>15</v>
      </c>
      <c r="F689" s="2">
        <v>706.0</v>
      </c>
      <c r="G689" s="2">
        <v>1314.84</v>
      </c>
      <c r="H689" s="2">
        <v>928280.0</v>
      </c>
      <c r="I689" s="2">
        <v>528.0</v>
      </c>
    </row>
    <row r="690" ht="15.75" customHeight="1">
      <c r="A690" s="2">
        <v>15.0</v>
      </c>
      <c r="B690" s="2" t="s">
        <v>43</v>
      </c>
      <c r="C690" s="2" t="s">
        <v>10</v>
      </c>
      <c r="D690" s="2" t="s">
        <v>19</v>
      </c>
      <c r="E690" s="2" t="s">
        <v>12</v>
      </c>
      <c r="F690" s="2">
        <v>867.0</v>
      </c>
      <c r="G690" s="2">
        <v>4933.85</v>
      </c>
      <c r="H690" s="2">
        <v>4277645.0</v>
      </c>
      <c r="I690" s="2">
        <v>778.0</v>
      </c>
    </row>
    <row r="691" ht="15.75" customHeight="1">
      <c r="A691" s="2">
        <v>15.0</v>
      </c>
      <c r="B691" s="2" t="s">
        <v>43</v>
      </c>
      <c r="C691" s="2" t="s">
        <v>10</v>
      </c>
      <c r="D691" s="2" t="s">
        <v>19</v>
      </c>
      <c r="E691" s="2" t="s">
        <v>13</v>
      </c>
      <c r="F691" s="2">
        <v>184.0</v>
      </c>
      <c r="G691" s="2">
        <v>21660.52</v>
      </c>
      <c r="H691" s="2">
        <v>3985536.0</v>
      </c>
      <c r="I691" s="2">
        <v>143.0</v>
      </c>
    </row>
    <row r="692" ht="15.75" customHeight="1">
      <c r="A692" s="2">
        <v>15.0</v>
      </c>
      <c r="B692" s="2" t="s">
        <v>43</v>
      </c>
      <c r="C692" s="2" t="s">
        <v>10</v>
      </c>
      <c r="D692" s="2" t="s">
        <v>19</v>
      </c>
      <c r="E692" s="2" t="s">
        <v>14</v>
      </c>
      <c r="F692" s="2">
        <v>246.0</v>
      </c>
      <c r="G692" s="2">
        <v>5872.12</v>
      </c>
      <c r="H692" s="2">
        <v>1444542.0</v>
      </c>
      <c r="I692" s="2">
        <v>206.0</v>
      </c>
    </row>
    <row r="693" ht="15.75" customHeight="1">
      <c r="A693" s="2">
        <v>15.0</v>
      </c>
      <c r="B693" s="2" t="s">
        <v>43</v>
      </c>
      <c r="C693" s="2" t="s">
        <v>10</v>
      </c>
      <c r="D693" s="2" t="s">
        <v>19</v>
      </c>
      <c r="E693" s="2" t="s">
        <v>15</v>
      </c>
      <c r="F693" s="2">
        <v>785.0</v>
      </c>
      <c r="G693" s="2">
        <v>1306.34</v>
      </c>
      <c r="H693" s="2">
        <v>1025475.0</v>
      </c>
      <c r="I693" s="2">
        <v>611.0</v>
      </c>
    </row>
    <row r="694" ht="15.75" customHeight="1">
      <c r="A694" s="2">
        <v>15.0</v>
      </c>
      <c r="B694" s="2" t="s">
        <v>43</v>
      </c>
      <c r="C694" s="2" t="s">
        <v>10</v>
      </c>
      <c r="D694" s="2" t="s">
        <v>20</v>
      </c>
      <c r="E694" s="2" t="s">
        <v>12</v>
      </c>
      <c r="F694" s="2">
        <v>986.0</v>
      </c>
      <c r="G694" s="2">
        <v>5457.78</v>
      </c>
      <c r="H694" s="2">
        <v>5381371.0</v>
      </c>
      <c r="I694" s="2">
        <v>731.0</v>
      </c>
    </row>
    <row r="695" ht="15.75" customHeight="1">
      <c r="A695" s="2">
        <v>15.0</v>
      </c>
      <c r="B695" s="2" t="s">
        <v>43</v>
      </c>
      <c r="C695" s="2" t="s">
        <v>10</v>
      </c>
      <c r="D695" s="2" t="s">
        <v>20</v>
      </c>
      <c r="E695" s="2" t="s">
        <v>13</v>
      </c>
      <c r="F695" s="2">
        <v>228.0</v>
      </c>
      <c r="G695" s="2">
        <v>21282.47</v>
      </c>
      <c r="H695" s="2">
        <v>4852403.0</v>
      </c>
      <c r="I695" s="2">
        <v>161.0</v>
      </c>
    </row>
    <row r="696" ht="15.75" customHeight="1">
      <c r="A696" s="2">
        <v>15.0</v>
      </c>
      <c r="B696" s="2" t="s">
        <v>43</v>
      </c>
      <c r="C696" s="2" t="s">
        <v>10</v>
      </c>
      <c r="D696" s="2" t="s">
        <v>20</v>
      </c>
      <c r="E696" s="2" t="s">
        <v>14</v>
      </c>
      <c r="F696" s="2">
        <v>207.0</v>
      </c>
      <c r="G696" s="2">
        <v>6789.39</v>
      </c>
      <c r="H696" s="2">
        <v>1405405.0</v>
      </c>
      <c r="I696" s="2">
        <v>152.0</v>
      </c>
    </row>
    <row r="697" ht="15.75" customHeight="1">
      <c r="A697" s="2">
        <v>15.0</v>
      </c>
      <c r="B697" s="2" t="s">
        <v>43</v>
      </c>
      <c r="C697" s="2" t="s">
        <v>10</v>
      </c>
      <c r="D697" s="2" t="s">
        <v>20</v>
      </c>
      <c r="E697" s="2" t="s">
        <v>15</v>
      </c>
      <c r="F697" s="2">
        <v>659.0</v>
      </c>
      <c r="G697" s="2">
        <v>1276.09</v>
      </c>
      <c r="H697" s="2">
        <v>840944.0</v>
      </c>
      <c r="I697" s="2">
        <v>592.0</v>
      </c>
    </row>
    <row r="698" ht="15.75" customHeight="1">
      <c r="A698" s="2">
        <v>15.0</v>
      </c>
      <c r="B698" s="2" t="s">
        <v>43</v>
      </c>
      <c r="C698" s="2" t="s">
        <v>10</v>
      </c>
      <c r="D698" s="2" t="s">
        <v>21</v>
      </c>
      <c r="E698" s="2" t="s">
        <v>12</v>
      </c>
      <c r="F698" s="2">
        <v>965.0</v>
      </c>
      <c r="G698" s="2">
        <v>5304.84</v>
      </c>
      <c r="H698" s="2">
        <v>5119174.0</v>
      </c>
      <c r="I698" s="2">
        <v>908.0</v>
      </c>
    </row>
    <row r="699" ht="15.75" customHeight="1">
      <c r="A699" s="2">
        <v>15.0</v>
      </c>
      <c r="B699" s="2" t="s">
        <v>43</v>
      </c>
      <c r="C699" s="2" t="s">
        <v>10</v>
      </c>
      <c r="D699" s="2" t="s">
        <v>21</v>
      </c>
      <c r="E699" s="2" t="s">
        <v>13</v>
      </c>
      <c r="F699" s="2">
        <v>162.0</v>
      </c>
      <c r="G699" s="2">
        <v>22629.78</v>
      </c>
      <c r="H699" s="2">
        <v>3666024.0</v>
      </c>
      <c r="I699" s="2">
        <v>133.0</v>
      </c>
    </row>
    <row r="700" ht="15.75" customHeight="1">
      <c r="A700" s="2">
        <v>15.0</v>
      </c>
      <c r="B700" s="2" t="s">
        <v>43</v>
      </c>
      <c r="C700" s="2" t="s">
        <v>10</v>
      </c>
      <c r="D700" s="2" t="s">
        <v>21</v>
      </c>
      <c r="E700" s="2" t="s">
        <v>14</v>
      </c>
      <c r="F700" s="2">
        <v>220.0</v>
      </c>
      <c r="G700" s="2">
        <v>6423.25</v>
      </c>
      <c r="H700" s="2">
        <v>1413114.0</v>
      </c>
      <c r="I700" s="2">
        <v>208.0</v>
      </c>
    </row>
    <row r="701" ht="15.75" customHeight="1">
      <c r="A701" s="2">
        <v>15.0</v>
      </c>
      <c r="B701" s="2" t="s">
        <v>43</v>
      </c>
      <c r="C701" s="2" t="s">
        <v>10</v>
      </c>
      <c r="D701" s="2" t="s">
        <v>21</v>
      </c>
      <c r="E701" s="2" t="s">
        <v>15</v>
      </c>
      <c r="F701" s="2">
        <v>905.0</v>
      </c>
      <c r="G701" s="2">
        <v>1317.37</v>
      </c>
      <c r="H701" s="2">
        <v>1192222.0</v>
      </c>
      <c r="I701" s="2">
        <v>730.0</v>
      </c>
    </row>
    <row r="702" ht="15.75" customHeight="1">
      <c r="A702" s="2">
        <v>15.0</v>
      </c>
      <c r="B702" s="2" t="s">
        <v>43</v>
      </c>
      <c r="C702" s="2" t="s">
        <v>10</v>
      </c>
      <c r="D702" s="2" t="s">
        <v>22</v>
      </c>
      <c r="E702" s="2" t="s">
        <v>12</v>
      </c>
      <c r="F702" s="2">
        <v>846.0</v>
      </c>
      <c r="G702" s="2">
        <v>5377.98</v>
      </c>
      <c r="H702" s="2">
        <v>4549769.0</v>
      </c>
      <c r="I702" s="2">
        <v>611.0</v>
      </c>
    </row>
    <row r="703" ht="15.75" customHeight="1">
      <c r="A703" s="2">
        <v>15.0</v>
      </c>
      <c r="B703" s="2" t="s">
        <v>43</v>
      </c>
      <c r="C703" s="2" t="s">
        <v>10</v>
      </c>
      <c r="D703" s="2" t="s">
        <v>22</v>
      </c>
      <c r="E703" s="2" t="s">
        <v>13</v>
      </c>
      <c r="F703" s="2">
        <v>124.0</v>
      </c>
      <c r="G703" s="2">
        <v>20882.1</v>
      </c>
      <c r="H703" s="2">
        <v>2589381.0</v>
      </c>
      <c r="I703" s="2">
        <v>112.0</v>
      </c>
    </row>
    <row r="704" ht="15.75" customHeight="1">
      <c r="A704" s="2">
        <v>15.0</v>
      </c>
      <c r="B704" s="2" t="s">
        <v>43</v>
      </c>
      <c r="C704" s="2" t="s">
        <v>10</v>
      </c>
      <c r="D704" s="2" t="s">
        <v>22</v>
      </c>
      <c r="E704" s="2" t="s">
        <v>14</v>
      </c>
      <c r="F704" s="2">
        <v>353.0</v>
      </c>
      <c r="G704" s="2">
        <v>6758.32</v>
      </c>
      <c r="H704" s="2">
        <v>2385685.0</v>
      </c>
      <c r="I704" s="2">
        <v>263.0</v>
      </c>
    </row>
    <row r="705" ht="15.75" customHeight="1">
      <c r="A705" s="2">
        <v>15.0</v>
      </c>
      <c r="B705" s="2" t="s">
        <v>43</v>
      </c>
      <c r="C705" s="2" t="s">
        <v>10</v>
      </c>
      <c r="D705" s="2" t="s">
        <v>22</v>
      </c>
      <c r="E705" s="2" t="s">
        <v>15</v>
      </c>
      <c r="F705" s="2">
        <v>876.0</v>
      </c>
      <c r="G705" s="2">
        <v>1164.68</v>
      </c>
      <c r="H705" s="2">
        <v>1020263.0</v>
      </c>
      <c r="I705" s="2">
        <v>678.0</v>
      </c>
    </row>
    <row r="706" ht="15.75" customHeight="1">
      <c r="A706" s="2">
        <v>15.0</v>
      </c>
      <c r="B706" s="2" t="s">
        <v>43</v>
      </c>
      <c r="C706" s="2" t="s">
        <v>10</v>
      </c>
      <c r="D706" s="2" t="s">
        <v>23</v>
      </c>
      <c r="E706" s="2" t="s">
        <v>12</v>
      </c>
      <c r="F706" s="2">
        <v>1085.0</v>
      </c>
      <c r="G706" s="2">
        <v>5661.58</v>
      </c>
      <c r="H706" s="2">
        <v>6142809.0</v>
      </c>
      <c r="I706" s="2">
        <v>844.0</v>
      </c>
    </row>
    <row r="707" ht="15.75" customHeight="1">
      <c r="A707" s="2">
        <v>15.0</v>
      </c>
      <c r="B707" s="2" t="s">
        <v>43</v>
      </c>
      <c r="C707" s="2" t="s">
        <v>10</v>
      </c>
      <c r="D707" s="2" t="s">
        <v>23</v>
      </c>
      <c r="E707" s="2" t="s">
        <v>13</v>
      </c>
      <c r="F707" s="2">
        <v>238.0</v>
      </c>
      <c r="G707" s="2">
        <v>21780.63</v>
      </c>
      <c r="H707" s="2">
        <v>5183789.0</v>
      </c>
      <c r="I707" s="2">
        <v>220.0</v>
      </c>
    </row>
    <row r="708" ht="15.75" customHeight="1">
      <c r="A708" s="2">
        <v>15.0</v>
      </c>
      <c r="B708" s="2" t="s">
        <v>43</v>
      </c>
      <c r="C708" s="2" t="s">
        <v>10</v>
      </c>
      <c r="D708" s="2" t="s">
        <v>23</v>
      </c>
      <c r="E708" s="2" t="s">
        <v>14</v>
      </c>
      <c r="F708" s="2">
        <v>412.0</v>
      </c>
      <c r="G708" s="2">
        <v>6921.03</v>
      </c>
      <c r="H708" s="2">
        <v>2851463.0</v>
      </c>
      <c r="I708" s="2">
        <v>379.0</v>
      </c>
    </row>
    <row r="709" ht="15.75" customHeight="1">
      <c r="A709" s="2">
        <v>15.0</v>
      </c>
      <c r="B709" s="2" t="s">
        <v>43</v>
      </c>
      <c r="C709" s="2" t="s">
        <v>10</v>
      </c>
      <c r="D709" s="2" t="s">
        <v>23</v>
      </c>
      <c r="E709" s="2" t="s">
        <v>15</v>
      </c>
      <c r="F709" s="2">
        <v>1197.0</v>
      </c>
      <c r="G709" s="2">
        <v>1143.3</v>
      </c>
      <c r="H709" s="2">
        <v>1368535.0</v>
      </c>
      <c r="I709" s="2">
        <v>889.0</v>
      </c>
    </row>
    <row r="710" ht="15.75" customHeight="1">
      <c r="A710" s="2">
        <v>15.0</v>
      </c>
      <c r="B710" s="2" t="s">
        <v>43</v>
      </c>
      <c r="C710" s="2" t="s">
        <v>10</v>
      </c>
      <c r="D710" s="2" t="s">
        <v>24</v>
      </c>
      <c r="E710" s="2" t="s">
        <v>12</v>
      </c>
      <c r="F710" s="2">
        <v>876.0</v>
      </c>
      <c r="G710" s="2">
        <v>5180.33</v>
      </c>
      <c r="H710" s="2">
        <v>4537966.0</v>
      </c>
      <c r="I710" s="2">
        <v>811.0</v>
      </c>
    </row>
    <row r="711" ht="15.75" customHeight="1">
      <c r="A711" s="2">
        <v>15.0</v>
      </c>
      <c r="B711" s="2" t="s">
        <v>43</v>
      </c>
      <c r="C711" s="2" t="s">
        <v>10</v>
      </c>
      <c r="D711" s="2" t="s">
        <v>24</v>
      </c>
      <c r="E711" s="2" t="s">
        <v>13</v>
      </c>
      <c r="F711" s="2">
        <v>150.0</v>
      </c>
      <c r="G711" s="2">
        <v>22812.84</v>
      </c>
      <c r="H711" s="2">
        <v>3421926.0</v>
      </c>
      <c r="I711" s="2">
        <v>121.0</v>
      </c>
    </row>
    <row r="712" ht="15.75" customHeight="1">
      <c r="A712" s="2">
        <v>15.0</v>
      </c>
      <c r="B712" s="2" t="s">
        <v>43</v>
      </c>
      <c r="C712" s="2" t="s">
        <v>10</v>
      </c>
      <c r="D712" s="2" t="s">
        <v>24</v>
      </c>
      <c r="E712" s="2" t="s">
        <v>14</v>
      </c>
      <c r="F712" s="2">
        <v>274.0</v>
      </c>
      <c r="G712" s="2">
        <v>7065.15</v>
      </c>
      <c r="H712" s="2">
        <v>1935850.0</v>
      </c>
      <c r="I712" s="2">
        <v>215.0</v>
      </c>
    </row>
    <row r="713" ht="15.75" customHeight="1">
      <c r="A713" s="2">
        <v>15.0</v>
      </c>
      <c r="B713" s="2" t="s">
        <v>43</v>
      </c>
      <c r="C713" s="2" t="s">
        <v>10</v>
      </c>
      <c r="D713" s="2" t="s">
        <v>24</v>
      </c>
      <c r="E713" s="2" t="s">
        <v>15</v>
      </c>
      <c r="F713" s="2">
        <v>1019.0</v>
      </c>
      <c r="G713" s="2">
        <v>1352.13</v>
      </c>
      <c r="H713" s="2">
        <v>1377822.0</v>
      </c>
      <c r="I713" s="2">
        <v>833.0</v>
      </c>
    </row>
    <row r="714" ht="15.75" customHeight="1">
      <c r="A714" s="2">
        <v>15.0</v>
      </c>
      <c r="B714" s="2" t="s">
        <v>43</v>
      </c>
      <c r="C714" s="2" t="s">
        <v>10</v>
      </c>
      <c r="D714" s="2" t="s">
        <v>25</v>
      </c>
      <c r="E714" s="2" t="s">
        <v>12</v>
      </c>
      <c r="F714" s="2">
        <v>888.0</v>
      </c>
      <c r="G714" s="2">
        <v>5374.49</v>
      </c>
      <c r="H714" s="2">
        <v>4772544.0</v>
      </c>
      <c r="I714" s="2">
        <v>693.0</v>
      </c>
    </row>
    <row r="715" ht="15.75" customHeight="1">
      <c r="A715" s="2">
        <v>15.0</v>
      </c>
      <c r="B715" s="2" t="s">
        <v>43</v>
      </c>
      <c r="C715" s="2" t="s">
        <v>10</v>
      </c>
      <c r="D715" s="2" t="s">
        <v>25</v>
      </c>
      <c r="E715" s="2" t="s">
        <v>13</v>
      </c>
      <c r="F715" s="2">
        <v>146.0</v>
      </c>
      <c r="G715" s="2">
        <v>20867.95</v>
      </c>
      <c r="H715" s="2">
        <v>3046720.0</v>
      </c>
      <c r="I715" s="2">
        <v>108.0</v>
      </c>
    </row>
    <row r="716" ht="15.75" customHeight="1">
      <c r="A716" s="2">
        <v>15.0</v>
      </c>
      <c r="B716" s="2" t="s">
        <v>43</v>
      </c>
      <c r="C716" s="2" t="s">
        <v>10</v>
      </c>
      <c r="D716" s="2" t="s">
        <v>25</v>
      </c>
      <c r="E716" s="2" t="s">
        <v>14</v>
      </c>
      <c r="F716" s="2">
        <v>400.0</v>
      </c>
      <c r="G716" s="2">
        <v>6960.35</v>
      </c>
      <c r="H716" s="2">
        <v>2784142.0</v>
      </c>
      <c r="I716" s="2">
        <v>301.0</v>
      </c>
    </row>
    <row r="717" ht="15.75" customHeight="1">
      <c r="A717" s="2">
        <v>15.0</v>
      </c>
      <c r="B717" s="2" t="s">
        <v>43</v>
      </c>
      <c r="C717" s="2" t="s">
        <v>10</v>
      </c>
      <c r="D717" s="2" t="s">
        <v>25</v>
      </c>
      <c r="E717" s="2" t="s">
        <v>15</v>
      </c>
      <c r="F717" s="2">
        <v>542.0</v>
      </c>
      <c r="G717" s="2">
        <v>1162.19</v>
      </c>
      <c r="H717" s="2">
        <v>629908.0</v>
      </c>
      <c r="I717" s="2">
        <v>408.0</v>
      </c>
    </row>
    <row r="718" ht="15.75" customHeight="1">
      <c r="A718" s="2">
        <v>15.0</v>
      </c>
      <c r="B718" s="2" t="s">
        <v>43</v>
      </c>
      <c r="C718" s="2" t="s">
        <v>10</v>
      </c>
      <c r="D718" s="2" t="s">
        <v>26</v>
      </c>
      <c r="E718" s="2" t="s">
        <v>12</v>
      </c>
      <c r="F718" s="2">
        <v>826.0</v>
      </c>
      <c r="G718" s="2">
        <v>5199.37</v>
      </c>
      <c r="H718" s="2">
        <v>4294680.0</v>
      </c>
      <c r="I718" s="2">
        <v>734.0</v>
      </c>
    </row>
    <row r="719" ht="15.75" customHeight="1">
      <c r="A719" s="2">
        <v>15.0</v>
      </c>
      <c r="B719" s="2" t="s">
        <v>43</v>
      </c>
      <c r="C719" s="2" t="s">
        <v>10</v>
      </c>
      <c r="D719" s="2" t="s">
        <v>26</v>
      </c>
      <c r="E719" s="2" t="s">
        <v>13</v>
      </c>
      <c r="F719" s="2">
        <v>244.0</v>
      </c>
      <c r="G719" s="2">
        <v>22655.2</v>
      </c>
      <c r="H719" s="2">
        <v>5527868.0</v>
      </c>
      <c r="I719" s="2">
        <v>217.0</v>
      </c>
    </row>
    <row r="720" ht="15.75" customHeight="1">
      <c r="A720" s="2">
        <v>15.0</v>
      </c>
      <c r="B720" s="2" t="s">
        <v>43</v>
      </c>
      <c r="C720" s="2" t="s">
        <v>10</v>
      </c>
      <c r="D720" s="2" t="s">
        <v>26</v>
      </c>
      <c r="E720" s="2" t="s">
        <v>14</v>
      </c>
      <c r="F720" s="2">
        <v>451.0</v>
      </c>
      <c r="G720" s="2">
        <v>6336.37</v>
      </c>
      <c r="H720" s="2">
        <v>2857704.0</v>
      </c>
      <c r="I720" s="2">
        <v>417.0</v>
      </c>
    </row>
    <row r="721" ht="15.75" customHeight="1">
      <c r="A721" s="2">
        <v>15.0</v>
      </c>
      <c r="B721" s="2" t="s">
        <v>43</v>
      </c>
      <c r="C721" s="2" t="s">
        <v>10</v>
      </c>
      <c r="D721" s="2" t="s">
        <v>26</v>
      </c>
      <c r="E721" s="2" t="s">
        <v>15</v>
      </c>
      <c r="F721" s="2">
        <v>650.0</v>
      </c>
      <c r="G721" s="2">
        <v>1283.42</v>
      </c>
      <c r="H721" s="2">
        <v>834225.0</v>
      </c>
      <c r="I721" s="2">
        <v>455.0</v>
      </c>
    </row>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72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2" width="14.43"/>
    <col customWidth="1" min="3" max="3" width="20.43"/>
    <col customWidth="1" min="4" max="6" width="14.43"/>
  </cols>
  <sheetData>
    <row r="1"/>
    <row r="2"/>
    <row r="3"/>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6" width="14.43"/>
  </cols>
  <sheetData>
    <row r="1"/>
    <row r="2"/>
    <row r="3">
      <c r="M3" s="4"/>
      <c r="N3" s="4"/>
      <c r="O3" s="4"/>
      <c r="P3" s="4"/>
      <c r="Q3" s="4"/>
      <c r="R3" s="4"/>
      <c r="S3" s="4"/>
      <c r="T3" s="4"/>
      <c r="U3" s="4"/>
      <c r="V3" s="4"/>
      <c r="W3" s="4"/>
      <c r="X3" s="4"/>
      <c r="Y3" s="4"/>
      <c r="Z3" s="4"/>
    </row>
    <row r="4">
      <c r="M4" s="4"/>
      <c r="N4" s="4"/>
      <c r="O4" s="4"/>
      <c r="P4" s="4"/>
      <c r="Q4" s="4"/>
      <c r="R4" s="4"/>
      <c r="S4" s="4"/>
      <c r="T4" s="4"/>
      <c r="U4" s="4"/>
      <c r="V4" s="4"/>
      <c r="W4" s="4"/>
      <c r="X4" s="4"/>
      <c r="Y4" s="4"/>
      <c r="Z4" s="4"/>
    </row>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4.29"/>
    <col customWidth="1" min="2" max="2" width="22.86"/>
    <col customWidth="1" min="3" max="3" width="21.86"/>
    <col customWidth="1" min="4" max="4" width="4.29"/>
    <col customWidth="1" min="5" max="5" width="103.43"/>
    <col customWidth="1" min="6" max="6" width="14.43"/>
  </cols>
  <sheetData>
    <row r="1">
      <c r="A1" s="5"/>
      <c r="B1" s="6" t="s">
        <v>63</v>
      </c>
      <c r="F1" s="5"/>
      <c r="G1" s="5"/>
      <c r="H1" s="5"/>
      <c r="I1" s="5"/>
      <c r="J1" s="5"/>
      <c r="K1" s="5"/>
      <c r="L1" s="5"/>
      <c r="M1" s="5"/>
      <c r="N1" s="5"/>
      <c r="O1" s="5"/>
      <c r="P1" s="5"/>
      <c r="Q1" s="5"/>
      <c r="R1" s="5"/>
      <c r="S1" s="5"/>
    </row>
    <row r="2">
      <c r="A2" s="5"/>
      <c r="B2" s="5"/>
      <c r="C2" s="7"/>
      <c r="D2" s="5"/>
      <c r="E2" s="8"/>
      <c r="F2" s="5"/>
      <c r="G2" s="5"/>
      <c r="H2" s="5"/>
      <c r="I2" s="5"/>
      <c r="J2" s="5"/>
      <c r="K2" s="5"/>
      <c r="L2" s="5"/>
      <c r="M2" s="5"/>
      <c r="N2" s="5"/>
      <c r="O2" s="5"/>
      <c r="P2" s="5"/>
      <c r="Q2" s="5"/>
      <c r="R2" s="5"/>
      <c r="S2" s="5"/>
    </row>
    <row r="3">
      <c r="A3" s="5"/>
      <c r="B3" s="5" t="s">
        <v>64</v>
      </c>
      <c r="C3" s="7"/>
      <c r="D3" s="5"/>
      <c r="E3" s="8"/>
      <c r="F3" s="5"/>
      <c r="G3" s="5"/>
      <c r="H3" s="5"/>
      <c r="I3" s="5"/>
      <c r="J3" s="5"/>
      <c r="K3" s="5"/>
      <c r="L3" s="5"/>
      <c r="M3" s="5"/>
      <c r="N3" s="5"/>
      <c r="O3" s="5"/>
      <c r="P3" s="5"/>
      <c r="Q3" s="5"/>
      <c r="R3" s="5"/>
      <c r="S3" s="5"/>
    </row>
    <row r="4">
      <c r="A4" s="5"/>
      <c r="B4" s="5"/>
      <c r="C4" s="7"/>
      <c r="D4" s="5"/>
      <c r="E4" s="8"/>
      <c r="F4" s="5"/>
      <c r="G4" s="5"/>
      <c r="H4" s="5"/>
      <c r="I4" s="5"/>
      <c r="J4" s="5"/>
      <c r="K4" s="5"/>
      <c r="L4" s="5"/>
      <c r="M4" s="5"/>
      <c r="N4" s="5"/>
      <c r="O4" s="5"/>
      <c r="P4" s="5"/>
      <c r="Q4" s="5"/>
      <c r="R4" s="5"/>
      <c r="S4" s="5"/>
    </row>
    <row r="5">
      <c r="A5" s="5"/>
      <c r="B5" s="9" t="s">
        <v>65</v>
      </c>
      <c r="C5" s="10">
        <f>AVERAGE('Pivot Table 1'!C2:C181)</f>
        <v>11781135.6</v>
      </c>
      <c r="D5" s="9"/>
      <c r="E5" s="11" t="s">
        <v>66</v>
      </c>
      <c r="F5" s="5"/>
      <c r="G5" s="5"/>
      <c r="H5" s="5"/>
      <c r="I5" s="5"/>
      <c r="J5" s="5"/>
      <c r="K5" s="5"/>
      <c r="L5" s="5"/>
      <c r="M5" s="5"/>
      <c r="N5" s="5"/>
      <c r="O5" s="5"/>
      <c r="P5" s="5"/>
      <c r="Q5" s="5"/>
      <c r="R5" s="5"/>
      <c r="S5" s="5"/>
    </row>
    <row r="6">
      <c r="A6" s="5"/>
      <c r="B6" s="9" t="s">
        <v>67</v>
      </c>
      <c r="C6" s="10">
        <f>MEDIAN('Pivot Table 1'!C2:C181)</f>
        <v>11635163.5</v>
      </c>
      <c r="D6" s="9"/>
      <c r="E6" s="11" t="s">
        <v>68</v>
      </c>
      <c r="F6" s="5"/>
      <c r="G6" s="5"/>
      <c r="H6" s="5"/>
      <c r="I6" s="5"/>
      <c r="J6" s="5"/>
      <c r="K6" s="5"/>
      <c r="L6" s="5"/>
      <c r="M6" s="5"/>
      <c r="N6" s="5"/>
      <c r="O6" s="5"/>
      <c r="P6" s="5"/>
      <c r="Q6" s="5"/>
      <c r="R6" s="5"/>
      <c r="S6" s="5"/>
    </row>
    <row r="7">
      <c r="A7" s="5"/>
      <c r="B7" s="9" t="s">
        <v>69</v>
      </c>
      <c r="C7" s="10" t="str">
        <f>_xlfn.MODE.SNGL('Pivot Table 1'!C2:C181)</f>
        <v>#N/A</v>
      </c>
      <c r="D7" s="9"/>
      <c r="E7" s="11" t="s">
        <v>70</v>
      </c>
      <c r="F7" s="5"/>
      <c r="G7" s="5"/>
      <c r="H7" s="5"/>
      <c r="I7" s="5"/>
      <c r="J7" s="5"/>
      <c r="K7" s="5"/>
      <c r="L7" s="5"/>
      <c r="M7" s="5"/>
      <c r="N7" s="5"/>
      <c r="O7" s="5"/>
      <c r="P7" s="5"/>
      <c r="Q7" s="5"/>
      <c r="R7" s="5"/>
      <c r="S7" s="5"/>
    </row>
    <row r="8">
      <c r="A8" s="5"/>
      <c r="B8" s="9"/>
      <c r="C8" s="10"/>
      <c r="D8" s="9"/>
      <c r="E8" s="11"/>
      <c r="F8" s="5"/>
      <c r="G8" s="5"/>
      <c r="H8" s="5"/>
      <c r="I8" s="5"/>
      <c r="J8" s="5"/>
      <c r="K8" s="5"/>
      <c r="L8" s="5"/>
      <c r="M8" s="5"/>
      <c r="N8" s="5"/>
      <c r="O8" s="5"/>
      <c r="P8" s="5"/>
      <c r="Q8" s="5"/>
      <c r="R8" s="5"/>
      <c r="S8" s="5"/>
    </row>
    <row r="9">
      <c r="A9" s="5"/>
      <c r="B9" s="9" t="s">
        <v>71</v>
      </c>
      <c r="C9" s="10">
        <f>_xlfn.VAR.S('Pivot Table 1'!C2:C181)</f>
        <v>2269192568229</v>
      </c>
      <c r="D9" s="9"/>
      <c r="E9" s="11" t="s">
        <v>72</v>
      </c>
      <c r="F9" s="5"/>
      <c r="G9" s="5"/>
      <c r="H9" s="5"/>
      <c r="I9" s="5"/>
      <c r="J9" s="5"/>
      <c r="K9" s="5"/>
      <c r="L9" s="5"/>
      <c r="M9" s="5"/>
      <c r="N9" s="5"/>
      <c r="O9" s="5"/>
      <c r="P9" s="5"/>
      <c r="Q9" s="5"/>
      <c r="R9" s="5"/>
      <c r="S9" s="5"/>
    </row>
    <row r="10">
      <c r="A10" s="5"/>
      <c r="B10" s="9" t="s">
        <v>73</v>
      </c>
      <c r="C10" s="10">
        <f>_xlfn.STDEV.S('Pivot Table 1'!C2:C181)</f>
        <v>1506383.938</v>
      </c>
      <c r="D10" s="9"/>
      <c r="E10" s="12" t="s">
        <v>74</v>
      </c>
      <c r="F10" s="5"/>
      <c r="G10" s="5"/>
      <c r="H10" s="5"/>
      <c r="I10" s="5"/>
      <c r="J10" s="5"/>
      <c r="K10" s="5"/>
      <c r="L10" s="5"/>
      <c r="M10" s="5"/>
      <c r="N10" s="5"/>
      <c r="O10" s="5"/>
      <c r="P10" s="5"/>
      <c r="Q10" s="5"/>
      <c r="R10" s="5"/>
      <c r="S10" s="5"/>
    </row>
    <row r="11">
      <c r="A11" s="5"/>
      <c r="B11" s="5"/>
      <c r="C11" s="7"/>
      <c r="D11" s="5"/>
      <c r="E11" s="8"/>
      <c r="F11" s="5"/>
      <c r="G11" s="5"/>
      <c r="H11" s="5"/>
      <c r="I11" s="5"/>
      <c r="J11" s="5"/>
      <c r="K11" s="5"/>
      <c r="L11" s="5"/>
      <c r="M11" s="5"/>
      <c r="N11" s="5"/>
      <c r="O11" s="5"/>
      <c r="P11" s="5"/>
      <c r="Q11" s="5"/>
      <c r="R11" s="5"/>
      <c r="S11" s="5"/>
    </row>
    <row r="12">
      <c r="A12" s="5"/>
      <c r="B12" s="6" t="s">
        <v>75</v>
      </c>
      <c r="F12" s="5"/>
      <c r="G12" s="5"/>
      <c r="H12" s="5"/>
      <c r="I12" s="5"/>
      <c r="J12" s="5"/>
      <c r="K12" s="5"/>
      <c r="L12" s="5"/>
      <c r="M12" s="5"/>
      <c r="N12" s="5"/>
      <c r="O12" s="5"/>
      <c r="P12" s="5"/>
      <c r="Q12" s="5"/>
      <c r="R12" s="5"/>
      <c r="S12" s="5"/>
    </row>
    <row r="13">
      <c r="A13" s="5"/>
      <c r="B13" s="5"/>
      <c r="C13" s="7"/>
      <c r="D13" s="5"/>
      <c r="E13" s="8"/>
      <c r="F13" s="5"/>
      <c r="G13" s="5"/>
      <c r="H13" s="5"/>
      <c r="I13" s="5"/>
      <c r="J13" s="5"/>
      <c r="K13" s="5"/>
      <c r="L13" s="5"/>
      <c r="M13" s="5"/>
      <c r="N13" s="5"/>
      <c r="O13" s="5"/>
      <c r="P13" s="5"/>
      <c r="Q13" s="5"/>
      <c r="R13" s="5"/>
      <c r="S13" s="5"/>
    </row>
    <row r="14">
      <c r="A14" s="5"/>
      <c r="B14" s="5" t="s">
        <v>76</v>
      </c>
      <c r="C14" s="7">
        <f>MAX('Pivot Table 1'!C2:C181)</f>
        <v>15671151</v>
      </c>
      <c r="D14" s="5"/>
      <c r="E14" s="8"/>
      <c r="F14" s="5"/>
      <c r="G14" s="5"/>
      <c r="H14" s="5"/>
      <c r="I14" s="5"/>
      <c r="J14" s="5"/>
      <c r="K14" s="5"/>
      <c r="L14" s="5"/>
      <c r="M14" s="5"/>
      <c r="N14" s="5"/>
      <c r="O14" s="5"/>
      <c r="P14" s="5"/>
      <c r="Q14" s="5"/>
      <c r="R14" s="5"/>
      <c r="S14" s="5"/>
    </row>
    <row r="15">
      <c r="A15" s="5"/>
      <c r="B15" s="5" t="s">
        <v>77</v>
      </c>
      <c r="C15" s="7">
        <f>MIN('Pivot Table 1'!C2:C181)</f>
        <v>7842934</v>
      </c>
      <c r="D15" s="5"/>
      <c r="E15" s="8"/>
      <c r="F15" s="5"/>
      <c r="G15" s="5"/>
      <c r="H15" s="5"/>
      <c r="I15" s="5"/>
      <c r="J15" s="5"/>
      <c r="K15" s="5"/>
      <c r="L15" s="5"/>
      <c r="M15" s="5"/>
      <c r="N15" s="5"/>
      <c r="O15" s="5"/>
      <c r="P15" s="5"/>
      <c r="Q15" s="5"/>
      <c r="R15" s="5"/>
      <c r="S15" s="5"/>
    </row>
    <row r="16">
      <c r="A16" s="5"/>
      <c r="B16" s="5"/>
      <c r="C16" s="7"/>
      <c r="D16" s="5"/>
      <c r="E16" s="8"/>
      <c r="F16" s="5"/>
      <c r="G16" s="5"/>
      <c r="H16" s="5"/>
      <c r="I16" s="5"/>
      <c r="J16" s="5"/>
      <c r="K16" s="5"/>
      <c r="L16" s="5"/>
      <c r="M16" s="5"/>
      <c r="N16" s="5"/>
      <c r="O16" s="5"/>
      <c r="P16" s="5"/>
      <c r="Q16" s="5"/>
      <c r="R16" s="5"/>
      <c r="S16" s="5"/>
    </row>
    <row r="17">
      <c r="A17" s="5"/>
      <c r="B17" s="5" t="s">
        <v>78</v>
      </c>
      <c r="C17" s="13">
        <f>(C14-C5)/C10</f>
        <v>2.582353212</v>
      </c>
      <c r="D17" s="5"/>
      <c r="E17" s="8" t="s">
        <v>79</v>
      </c>
      <c r="F17" s="5"/>
      <c r="G17" s="5"/>
      <c r="H17" s="5"/>
      <c r="I17" s="5"/>
      <c r="J17" s="5"/>
      <c r="K17" s="5"/>
      <c r="L17" s="5"/>
      <c r="M17" s="5"/>
      <c r="N17" s="5"/>
      <c r="O17" s="5"/>
      <c r="P17" s="5"/>
      <c r="Q17" s="5"/>
      <c r="R17" s="5"/>
      <c r="S17" s="5"/>
    </row>
    <row r="18">
      <c r="A18" s="5"/>
      <c r="B18" s="5" t="s">
        <v>80</v>
      </c>
      <c r="C18" s="13">
        <f>(C15-C5)/C10</f>
        <v>-2.614341205</v>
      </c>
      <c r="D18" s="5"/>
      <c r="F18" s="5"/>
      <c r="G18" s="5"/>
      <c r="H18" s="5"/>
      <c r="I18" s="5"/>
      <c r="J18" s="5"/>
      <c r="K18" s="5"/>
      <c r="L18" s="5"/>
      <c r="M18" s="5"/>
      <c r="N18" s="5"/>
      <c r="O18" s="5"/>
      <c r="P18" s="5"/>
      <c r="Q18" s="5"/>
      <c r="R18" s="5"/>
      <c r="S18" s="5"/>
    </row>
    <row r="19">
      <c r="A19" s="5"/>
      <c r="B19" s="5"/>
      <c r="C19" s="13"/>
      <c r="D19" s="5"/>
      <c r="E19" s="8"/>
      <c r="F19" s="5"/>
      <c r="G19" s="5"/>
      <c r="H19" s="5"/>
      <c r="I19" s="5"/>
      <c r="J19" s="5"/>
      <c r="K19" s="5"/>
      <c r="L19" s="5"/>
      <c r="M19" s="5"/>
      <c r="N19" s="5"/>
      <c r="O19" s="5"/>
      <c r="P19" s="5"/>
      <c r="Q19" s="5"/>
      <c r="R19" s="5"/>
      <c r="S19" s="5"/>
    </row>
    <row r="20">
      <c r="A20" s="5"/>
      <c r="B20" s="5"/>
      <c r="C20" s="13"/>
      <c r="D20" s="5"/>
      <c r="E20" s="8"/>
      <c r="F20" s="5"/>
      <c r="G20" s="5"/>
      <c r="H20" s="5"/>
      <c r="I20" s="5"/>
      <c r="J20" s="5"/>
      <c r="K20" s="5"/>
      <c r="L20" s="5"/>
      <c r="M20" s="5"/>
      <c r="N20" s="5"/>
      <c r="O20" s="5"/>
      <c r="P20" s="5"/>
      <c r="Q20" s="5"/>
      <c r="R20" s="5"/>
      <c r="S20" s="5"/>
    </row>
    <row r="21" ht="15.75" customHeight="1">
      <c r="A21" s="5"/>
      <c r="B21" s="5" t="s">
        <v>81</v>
      </c>
      <c r="C21" s="13"/>
      <c r="D21" s="5"/>
      <c r="E21" s="8"/>
      <c r="F21" s="5"/>
      <c r="G21" s="5"/>
      <c r="H21" s="5"/>
      <c r="I21" s="5"/>
      <c r="J21" s="5"/>
      <c r="K21" s="5"/>
      <c r="L21" s="5"/>
      <c r="M21" s="5"/>
      <c r="N21" s="5"/>
      <c r="O21" s="5"/>
      <c r="P21" s="5"/>
      <c r="Q21" s="5"/>
      <c r="R21" s="5"/>
      <c r="S21" s="5"/>
    </row>
    <row r="22" ht="15.75" customHeight="1">
      <c r="A22" s="5"/>
      <c r="B22" s="5" t="s">
        <v>82</v>
      </c>
      <c r="C22" s="13">
        <f>C5-C10</f>
        <v>10274751.66</v>
      </c>
      <c r="D22" s="5"/>
      <c r="E22" s="8"/>
      <c r="F22" s="5"/>
      <c r="G22" s="5"/>
      <c r="H22" s="5"/>
      <c r="I22" s="5"/>
      <c r="J22" s="5"/>
      <c r="K22" s="5"/>
      <c r="L22" s="5"/>
      <c r="M22" s="5"/>
      <c r="N22" s="5"/>
      <c r="O22" s="5"/>
      <c r="P22" s="5"/>
      <c r="Q22" s="5"/>
      <c r="R22" s="5"/>
      <c r="S22" s="5"/>
    </row>
    <row r="23" ht="15.75" customHeight="1">
      <c r="A23" s="5"/>
      <c r="B23" s="5" t="s">
        <v>83</v>
      </c>
      <c r="C23" s="13">
        <f>C5+C10</f>
        <v>13287519.54</v>
      </c>
      <c r="D23" s="5"/>
      <c r="E23" s="8"/>
      <c r="F23" s="5"/>
      <c r="G23" s="5"/>
      <c r="H23" s="5"/>
      <c r="I23" s="5"/>
      <c r="J23" s="5"/>
      <c r="K23" s="5"/>
      <c r="L23" s="5"/>
      <c r="M23" s="5"/>
      <c r="N23" s="5"/>
      <c r="O23" s="5"/>
      <c r="P23" s="5"/>
      <c r="Q23" s="5"/>
      <c r="R23" s="5"/>
      <c r="S23" s="5"/>
    </row>
    <row r="24" ht="15.75" customHeight="1">
      <c r="A24" s="5"/>
      <c r="B24" s="5"/>
      <c r="C24" s="13"/>
      <c r="D24" s="5"/>
      <c r="E24" s="8"/>
      <c r="F24" s="5"/>
      <c r="G24" s="5"/>
      <c r="H24" s="5"/>
      <c r="I24" s="5"/>
      <c r="J24" s="5"/>
      <c r="K24" s="5"/>
      <c r="L24" s="5"/>
      <c r="M24" s="5"/>
      <c r="N24" s="5"/>
      <c r="O24" s="5"/>
      <c r="P24" s="5"/>
      <c r="Q24" s="5"/>
      <c r="R24" s="5"/>
      <c r="S24" s="5"/>
    </row>
    <row r="25" ht="15.75" customHeight="1">
      <c r="A25" s="5"/>
      <c r="B25" s="5" t="s">
        <v>84</v>
      </c>
      <c r="C25" s="13"/>
      <c r="D25" s="5"/>
      <c r="E25" s="8"/>
      <c r="F25" s="5"/>
      <c r="G25" s="5"/>
      <c r="H25" s="5"/>
      <c r="I25" s="5"/>
      <c r="J25" s="5"/>
      <c r="K25" s="5"/>
      <c r="L25" s="5"/>
      <c r="M25" s="5"/>
      <c r="N25" s="5"/>
      <c r="O25" s="5"/>
      <c r="P25" s="5"/>
      <c r="Q25" s="5"/>
      <c r="R25" s="5"/>
      <c r="S25" s="5"/>
    </row>
    <row r="26" ht="15.75" customHeight="1">
      <c r="A26" s="5"/>
      <c r="B26" s="5" t="s">
        <v>85</v>
      </c>
      <c r="C26" s="13">
        <f>C5-(2*C10)</f>
        <v>8768367.724</v>
      </c>
      <c r="D26" s="5"/>
      <c r="E26" s="8"/>
      <c r="F26" s="5"/>
      <c r="G26" s="5"/>
      <c r="H26" s="5"/>
      <c r="I26" s="5"/>
      <c r="J26" s="5"/>
      <c r="K26" s="5"/>
      <c r="L26" s="5"/>
      <c r="M26" s="5"/>
      <c r="N26" s="5"/>
      <c r="O26" s="5"/>
      <c r="P26" s="5"/>
      <c r="Q26" s="5"/>
      <c r="R26" s="5"/>
      <c r="S26" s="5"/>
    </row>
    <row r="27" ht="15.75" customHeight="1">
      <c r="A27" s="5"/>
      <c r="B27" s="5" t="s">
        <v>86</v>
      </c>
      <c r="C27" s="13">
        <f>C5+(2*C10)</f>
        <v>14793903.48</v>
      </c>
      <c r="D27" s="5"/>
      <c r="E27" s="8"/>
      <c r="F27" s="5"/>
      <c r="G27" s="5"/>
      <c r="H27" s="5"/>
      <c r="I27" s="5"/>
      <c r="J27" s="5"/>
      <c r="K27" s="5"/>
      <c r="L27" s="5"/>
      <c r="M27" s="5"/>
      <c r="N27" s="5"/>
      <c r="O27" s="5"/>
      <c r="P27" s="5"/>
      <c r="Q27" s="5"/>
      <c r="R27" s="5"/>
      <c r="S27" s="5"/>
    </row>
    <row r="28" ht="15.75" customHeight="1">
      <c r="A28" s="5"/>
      <c r="B28" s="5"/>
      <c r="C28" s="13"/>
      <c r="D28" s="5"/>
      <c r="E28" s="8"/>
      <c r="F28" s="5"/>
      <c r="G28" s="5"/>
      <c r="H28" s="5"/>
      <c r="I28" s="5"/>
      <c r="J28" s="5"/>
      <c r="K28" s="5"/>
      <c r="L28" s="5"/>
      <c r="M28" s="5"/>
      <c r="N28" s="5"/>
      <c r="O28" s="5"/>
      <c r="P28" s="5"/>
      <c r="Q28" s="5"/>
      <c r="R28" s="5"/>
      <c r="S28" s="5"/>
    </row>
    <row r="29" ht="15.75" customHeight="1">
      <c r="A29" s="5"/>
      <c r="B29" s="5" t="s">
        <v>87</v>
      </c>
      <c r="C29" s="14">
        <f>COUNTIFS('Pivot Table 1'!C2:C181, "&gt;=10274751.66", 'Pivot Table 1'!C2:C181, "&lt;=13287519.54")</f>
        <v>127</v>
      </c>
      <c r="D29" s="5"/>
      <c r="E29" s="8"/>
      <c r="F29" s="5"/>
      <c r="G29" s="5"/>
      <c r="H29" s="5"/>
      <c r="I29" s="5"/>
      <c r="J29" s="5"/>
      <c r="K29" s="5"/>
      <c r="L29" s="5"/>
      <c r="M29" s="5"/>
      <c r="N29" s="5"/>
      <c r="O29" s="5"/>
      <c r="P29" s="5"/>
      <c r="Q29" s="5"/>
      <c r="R29" s="5"/>
      <c r="S29" s="5"/>
    </row>
    <row r="30" ht="15.75" customHeight="1">
      <c r="A30" s="5"/>
      <c r="B30" s="5" t="s">
        <v>88</v>
      </c>
      <c r="C30" s="14">
        <f>COUNTIFS('Pivot Table 1'!C2:C181, "&gt;=8768367.72", 'Pivot Table 1'!C2:C181, "&lt;=14793803.48")</f>
        <v>170</v>
      </c>
      <c r="D30" s="5"/>
      <c r="E30" s="8"/>
      <c r="F30" s="5"/>
      <c r="G30" s="5"/>
      <c r="H30" s="5"/>
      <c r="I30" s="5"/>
      <c r="J30" s="5"/>
      <c r="K30" s="5"/>
      <c r="L30" s="5"/>
      <c r="M30" s="5"/>
      <c r="N30" s="5"/>
      <c r="O30" s="5"/>
      <c r="P30" s="5"/>
      <c r="Q30" s="5"/>
      <c r="R30" s="5"/>
      <c r="S30" s="5"/>
    </row>
    <row r="31" ht="15.75" customHeight="1">
      <c r="A31" s="5"/>
      <c r="B31" s="5"/>
      <c r="C31" s="13" t="s">
        <v>89</v>
      </c>
      <c r="D31" s="5"/>
      <c r="E31" s="8" t="s">
        <v>90</v>
      </c>
      <c r="F31" s="5"/>
      <c r="G31" s="5"/>
      <c r="H31" s="5"/>
      <c r="I31" s="5"/>
      <c r="J31" s="5"/>
      <c r="K31" s="5"/>
      <c r="L31" s="5"/>
      <c r="M31" s="5"/>
      <c r="N31" s="5"/>
      <c r="O31" s="5"/>
      <c r="P31" s="5"/>
      <c r="Q31" s="5"/>
      <c r="R31" s="5"/>
      <c r="S31" s="5"/>
    </row>
    <row r="32" ht="15.75" customHeight="1">
      <c r="A32" s="5"/>
      <c r="B32" s="5" t="s">
        <v>91</v>
      </c>
      <c r="C32" s="15">
        <f t="shared" ref="C32:C33" si="1">C29/180</f>
        <v>0.7055555556</v>
      </c>
      <c r="D32" s="5"/>
      <c r="E32" s="8" t="s">
        <v>92</v>
      </c>
      <c r="F32" s="5"/>
      <c r="G32" s="5"/>
      <c r="H32" s="5"/>
      <c r="I32" s="5"/>
      <c r="J32" s="5"/>
      <c r="K32" s="5"/>
      <c r="L32" s="5"/>
      <c r="M32" s="5"/>
      <c r="N32" s="5"/>
      <c r="O32" s="5"/>
      <c r="P32" s="5"/>
      <c r="Q32" s="5"/>
      <c r="R32" s="5"/>
      <c r="S32" s="5"/>
    </row>
    <row r="33" ht="15.75" customHeight="1">
      <c r="A33" s="5"/>
      <c r="B33" s="5" t="s">
        <v>93</v>
      </c>
      <c r="C33" s="15">
        <f t="shared" si="1"/>
        <v>0.9444444444</v>
      </c>
      <c r="D33" s="5"/>
      <c r="E33" s="8" t="s">
        <v>94</v>
      </c>
      <c r="F33" s="5"/>
      <c r="G33" s="5"/>
      <c r="H33" s="5"/>
      <c r="I33" s="5"/>
      <c r="J33" s="5"/>
      <c r="K33" s="5"/>
      <c r="L33" s="5"/>
      <c r="M33" s="5"/>
      <c r="N33" s="5"/>
      <c r="O33" s="5"/>
      <c r="P33" s="5"/>
      <c r="Q33" s="5"/>
      <c r="R33" s="5"/>
      <c r="S33" s="5"/>
    </row>
    <row r="34" ht="15.75" customHeight="1">
      <c r="A34" s="5"/>
      <c r="D34" s="5"/>
      <c r="E34" s="8"/>
      <c r="F34" s="5"/>
      <c r="G34" s="5"/>
      <c r="H34" s="5"/>
      <c r="I34" s="5"/>
      <c r="J34" s="5"/>
      <c r="K34" s="5"/>
      <c r="L34" s="5"/>
      <c r="M34" s="5"/>
      <c r="N34" s="5"/>
      <c r="O34" s="5"/>
      <c r="P34" s="5"/>
      <c r="Q34" s="5"/>
      <c r="R34" s="5"/>
      <c r="S34" s="5"/>
    </row>
    <row r="35" ht="15.75" customHeight="1">
      <c r="A35" s="5"/>
      <c r="B35" s="16" t="s">
        <v>95</v>
      </c>
      <c r="C35" s="7"/>
      <c r="D35" s="5"/>
      <c r="E35" s="8"/>
      <c r="F35" s="5"/>
      <c r="G35" s="5"/>
      <c r="H35" s="5"/>
      <c r="I35" s="5"/>
      <c r="J35" s="5"/>
      <c r="K35" s="5"/>
      <c r="L35" s="5"/>
      <c r="M35" s="5"/>
      <c r="N35" s="5"/>
      <c r="O35" s="5"/>
      <c r="P35" s="5"/>
      <c r="Q35" s="5"/>
      <c r="R35" s="5"/>
      <c r="S35" s="5"/>
    </row>
    <row r="36" ht="15.75" customHeight="1">
      <c r="A36" s="5"/>
      <c r="B36" s="5"/>
      <c r="C36" s="7"/>
      <c r="D36" s="5"/>
      <c r="E36" s="8"/>
      <c r="F36" s="5"/>
      <c r="G36" s="5"/>
      <c r="H36" s="5"/>
      <c r="I36" s="5"/>
      <c r="J36" s="5"/>
      <c r="K36" s="5"/>
      <c r="L36" s="5"/>
      <c r="M36" s="5"/>
      <c r="N36" s="5"/>
      <c r="O36" s="5"/>
      <c r="P36" s="5"/>
      <c r="Q36" s="5"/>
      <c r="R36" s="5"/>
      <c r="S36" s="5"/>
    </row>
    <row r="37" ht="15.75" customHeight="1">
      <c r="A37" s="5"/>
      <c r="B37" s="5"/>
      <c r="C37" s="7"/>
      <c r="D37" s="5"/>
      <c r="E37" s="8"/>
      <c r="F37" s="5"/>
      <c r="G37" s="5"/>
      <c r="H37" s="5"/>
      <c r="I37" s="5"/>
      <c r="J37" s="5"/>
      <c r="K37" s="5"/>
      <c r="L37" s="5"/>
      <c r="M37" s="5"/>
      <c r="N37" s="5"/>
      <c r="O37" s="5"/>
      <c r="P37" s="5"/>
      <c r="Q37" s="5"/>
      <c r="R37" s="5"/>
      <c r="S37" s="5"/>
    </row>
    <row r="38" ht="15.75" customHeight="1">
      <c r="A38" s="5"/>
      <c r="B38" s="5" t="s">
        <v>96</v>
      </c>
      <c r="C38" s="7">
        <v>5000000.0</v>
      </c>
      <c r="D38" s="5"/>
      <c r="E38" s="8"/>
      <c r="F38" s="5"/>
      <c r="G38" s="5"/>
      <c r="H38" s="5"/>
      <c r="I38" s="5"/>
      <c r="J38" s="5"/>
      <c r="K38" s="5"/>
      <c r="L38" s="5"/>
      <c r="M38" s="5"/>
      <c r="N38" s="5"/>
      <c r="O38" s="5"/>
      <c r="P38" s="5"/>
      <c r="Q38" s="5"/>
      <c r="R38" s="5"/>
      <c r="S38" s="5"/>
    </row>
    <row r="39" ht="15.75" customHeight="1">
      <c r="A39" s="5"/>
      <c r="B39" s="5"/>
      <c r="C39" s="7"/>
      <c r="D39" s="5"/>
      <c r="E39" s="8"/>
      <c r="F39" s="5"/>
      <c r="G39" s="5"/>
      <c r="H39" s="5"/>
      <c r="I39" s="5"/>
      <c r="J39" s="5"/>
      <c r="K39" s="5"/>
      <c r="L39" s="5"/>
      <c r="M39" s="5"/>
      <c r="N39" s="5"/>
      <c r="O39" s="5"/>
      <c r="P39" s="5"/>
      <c r="Q39" s="5"/>
      <c r="R39" s="5"/>
      <c r="S39" s="5"/>
    </row>
    <row r="40" ht="15.75" customHeight="1">
      <c r="A40" s="5"/>
      <c r="B40" s="5" t="s">
        <v>97</v>
      </c>
      <c r="C40" s="5"/>
      <c r="D40" s="5"/>
      <c r="E40" s="8"/>
      <c r="F40" s="5"/>
      <c r="G40" s="5"/>
      <c r="H40" s="5"/>
      <c r="I40" s="5"/>
      <c r="J40" s="5"/>
      <c r="K40" s="5"/>
      <c r="L40" s="5"/>
      <c r="M40" s="5"/>
      <c r="N40" s="5"/>
      <c r="O40" s="5"/>
      <c r="P40" s="5"/>
      <c r="Q40" s="5"/>
      <c r="R40" s="5"/>
      <c r="S40" s="5"/>
    </row>
    <row r="41" ht="15.75" customHeight="1">
      <c r="A41" s="5"/>
      <c r="B41" s="5"/>
      <c r="C41" s="7"/>
      <c r="D41" s="5"/>
      <c r="E41" s="8"/>
      <c r="F41" s="5"/>
      <c r="G41" s="5"/>
      <c r="H41" s="5"/>
      <c r="I41" s="5"/>
      <c r="J41" s="5"/>
      <c r="K41" s="5"/>
      <c r="L41" s="5"/>
      <c r="M41" s="5"/>
      <c r="N41" s="5"/>
      <c r="O41" s="5"/>
      <c r="P41" s="5"/>
      <c r="Q41" s="5"/>
      <c r="R41" s="5"/>
      <c r="S41" s="5"/>
    </row>
    <row r="42" ht="15.75" customHeight="1">
      <c r="A42" s="5"/>
      <c r="B42" s="5" t="s">
        <v>98</v>
      </c>
      <c r="C42" s="17">
        <f>_xlfn.NORM.DIST(C38,C5,C10,TRUE)</f>
        <v>0.00000337221559</v>
      </c>
      <c r="D42" s="5"/>
      <c r="E42" s="8"/>
      <c r="F42" s="5"/>
      <c r="G42" s="5"/>
      <c r="H42" s="5"/>
      <c r="I42" s="5"/>
      <c r="J42" s="5"/>
      <c r="K42" s="5"/>
      <c r="L42" s="5"/>
      <c r="M42" s="5"/>
      <c r="N42" s="5"/>
      <c r="O42" s="5"/>
      <c r="P42" s="5"/>
      <c r="Q42" s="5"/>
      <c r="R42" s="5"/>
      <c r="S42" s="5"/>
    </row>
    <row r="43" ht="15.75" customHeight="1">
      <c r="A43" s="5"/>
      <c r="B43" s="5" t="s">
        <v>99</v>
      </c>
      <c r="C43" s="17">
        <f>1-C42</f>
        <v>0.9999966278</v>
      </c>
      <c r="D43" s="5"/>
      <c r="E43" s="8"/>
      <c r="F43" s="5"/>
      <c r="G43" s="5"/>
      <c r="H43" s="5"/>
      <c r="I43" s="5"/>
      <c r="J43" s="5"/>
      <c r="K43" s="5"/>
      <c r="L43" s="5"/>
      <c r="M43" s="5"/>
      <c r="N43" s="5"/>
      <c r="O43" s="5"/>
      <c r="P43" s="5"/>
      <c r="Q43" s="5"/>
      <c r="R43" s="5"/>
      <c r="S43" s="5"/>
    </row>
    <row r="44" ht="15.75" customHeight="1">
      <c r="A44" s="5"/>
      <c r="B44" s="5"/>
      <c r="C44" s="18"/>
      <c r="D44" s="5"/>
      <c r="E44" s="8"/>
      <c r="F44" s="5"/>
      <c r="G44" s="5"/>
      <c r="H44" s="5"/>
      <c r="I44" s="5"/>
      <c r="J44" s="5"/>
      <c r="K44" s="5"/>
      <c r="L44" s="5"/>
      <c r="M44" s="5"/>
      <c r="N44" s="5"/>
      <c r="O44" s="5"/>
      <c r="P44" s="5"/>
      <c r="Q44" s="5"/>
      <c r="R44" s="5"/>
      <c r="S44" s="5"/>
    </row>
    <row r="45" ht="15.75" customHeight="1">
      <c r="A45" s="5"/>
      <c r="B45" s="16" t="s">
        <v>100</v>
      </c>
      <c r="C45" s="18"/>
      <c r="D45" s="5"/>
      <c r="E45" s="8"/>
      <c r="F45" s="5"/>
      <c r="G45" s="5"/>
      <c r="H45" s="5"/>
      <c r="I45" s="5"/>
      <c r="J45" s="5"/>
      <c r="K45" s="5"/>
      <c r="L45" s="5"/>
      <c r="M45" s="5"/>
      <c r="N45" s="5"/>
      <c r="O45" s="5"/>
      <c r="P45" s="5"/>
      <c r="Q45" s="5"/>
      <c r="R45" s="5"/>
      <c r="S45" s="5"/>
    </row>
    <row r="46" ht="15.75" customHeight="1">
      <c r="A46" s="5"/>
      <c r="B46" s="5"/>
      <c r="C46" s="7"/>
      <c r="D46" s="5"/>
      <c r="E46" s="8"/>
      <c r="F46" s="5"/>
      <c r="G46" s="5"/>
      <c r="H46" s="5"/>
      <c r="I46" s="5"/>
      <c r="J46" s="5"/>
      <c r="K46" s="5"/>
      <c r="L46" s="5"/>
      <c r="M46" s="5"/>
      <c r="N46" s="5"/>
      <c r="O46" s="5"/>
      <c r="P46" s="5"/>
      <c r="Q46" s="5"/>
      <c r="R46" s="5"/>
      <c r="S46" s="5"/>
    </row>
    <row r="47" ht="15.75" customHeight="1">
      <c r="A47" s="5"/>
      <c r="B47" s="19" t="s">
        <v>101</v>
      </c>
      <c r="C47" s="20"/>
      <c r="D47" s="20"/>
      <c r="E47" s="21"/>
      <c r="F47" s="5"/>
      <c r="G47" s="5"/>
      <c r="H47" s="5"/>
      <c r="I47" s="5"/>
      <c r="J47" s="5"/>
      <c r="K47" s="5"/>
      <c r="L47" s="5"/>
      <c r="M47" s="5"/>
      <c r="N47" s="5"/>
      <c r="O47" s="5"/>
      <c r="P47" s="5"/>
      <c r="Q47" s="5"/>
      <c r="R47" s="5"/>
      <c r="S47" s="5"/>
    </row>
    <row r="48" ht="15.75" customHeight="1">
      <c r="A48" s="5"/>
      <c r="B48" s="22"/>
      <c r="C48" s="7"/>
      <c r="D48" s="5"/>
      <c r="E48" s="23"/>
      <c r="F48" s="5"/>
      <c r="G48" s="5"/>
      <c r="H48" s="5"/>
      <c r="I48" s="5"/>
      <c r="J48" s="5"/>
      <c r="K48" s="5"/>
      <c r="L48" s="5"/>
      <c r="M48" s="5"/>
      <c r="N48" s="5"/>
      <c r="O48" s="5"/>
      <c r="P48" s="5"/>
      <c r="Q48" s="5"/>
      <c r="R48" s="5"/>
      <c r="S48" s="5"/>
    </row>
    <row r="49" ht="15.75" customHeight="1">
      <c r="A49" s="5"/>
      <c r="B49" s="24" t="s">
        <v>102</v>
      </c>
      <c r="C49" s="25"/>
      <c r="D49" s="25"/>
      <c r="E49" s="26"/>
      <c r="F49" s="5"/>
      <c r="G49" s="5"/>
      <c r="H49" s="5"/>
      <c r="I49" s="5"/>
      <c r="J49" s="5"/>
      <c r="K49" s="5"/>
      <c r="L49" s="5"/>
      <c r="M49" s="5"/>
      <c r="N49" s="5"/>
      <c r="O49" s="5"/>
      <c r="P49" s="5"/>
      <c r="Q49" s="5"/>
      <c r="R49" s="5"/>
      <c r="S49" s="5"/>
    </row>
    <row r="50" ht="15.75" customHeight="1">
      <c r="A50" s="5"/>
      <c r="B50" s="5"/>
      <c r="C50" s="7"/>
      <c r="D50" s="5"/>
      <c r="E50" s="8"/>
      <c r="F50" s="5"/>
      <c r="G50" s="5"/>
      <c r="H50" s="5"/>
      <c r="I50" s="5"/>
      <c r="J50" s="5"/>
      <c r="K50" s="5"/>
      <c r="L50" s="5"/>
      <c r="M50" s="5"/>
      <c r="N50" s="5"/>
      <c r="O50" s="5"/>
      <c r="P50" s="5"/>
      <c r="Q50" s="5"/>
      <c r="R50" s="5"/>
      <c r="S50" s="5"/>
    </row>
    <row r="51" ht="15.75" customHeight="1">
      <c r="A51" s="5"/>
      <c r="B51" s="5"/>
      <c r="C51" s="7"/>
      <c r="D51" s="5"/>
      <c r="E51" s="8"/>
      <c r="F51" s="5"/>
      <c r="G51" s="5"/>
      <c r="H51" s="5"/>
      <c r="I51" s="5"/>
      <c r="J51" s="5"/>
      <c r="K51" s="5"/>
      <c r="L51" s="5"/>
      <c r="M51" s="5"/>
      <c r="N51" s="5"/>
      <c r="O51" s="5"/>
      <c r="P51" s="5"/>
      <c r="Q51" s="5"/>
      <c r="R51" s="5"/>
      <c r="S51" s="5"/>
    </row>
    <row r="52" ht="15.75" customHeight="1">
      <c r="A52" s="5"/>
      <c r="B52" s="6" t="s">
        <v>103</v>
      </c>
      <c r="F52" s="5"/>
      <c r="G52" s="5"/>
      <c r="H52" s="5"/>
      <c r="I52" s="5"/>
      <c r="J52" s="5"/>
      <c r="K52" s="5"/>
      <c r="L52" s="5"/>
      <c r="M52" s="5"/>
      <c r="N52" s="5"/>
      <c r="O52" s="5"/>
      <c r="P52" s="5"/>
      <c r="Q52" s="5"/>
      <c r="R52" s="5"/>
      <c r="S52" s="5"/>
    </row>
    <row r="53" ht="15.75" customHeight="1">
      <c r="A53" s="5"/>
      <c r="B53" s="5"/>
      <c r="C53" s="7"/>
      <c r="D53" s="5"/>
      <c r="E53" s="8"/>
      <c r="F53" s="5"/>
      <c r="G53" s="5"/>
      <c r="H53" s="5"/>
      <c r="I53" s="5"/>
      <c r="J53" s="5"/>
      <c r="K53" s="5"/>
      <c r="L53" s="5"/>
      <c r="M53" s="5"/>
      <c r="N53" s="5"/>
      <c r="O53" s="5"/>
      <c r="P53" s="5"/>
      <c r="Q53" s="5"/>
      <c r="R53" s="5"/>
      <c r="S53" s="5"/>
    </row>
    <row r="54" ht="15.75" customHeight="1">
      <c r="A54" s="5"/>
      <c r="B54" s="5" t="s">
        <v>104</v>
      </c>
      <c r="C54" s="7"/>
      <c r="D54" s="5"/>
      <c r="E54" s="8"/>
      <c r="F54" s="5"/>
      <c r="G54" s="5"/>
      <c r="H54" s="5"/>
      <c r="I54" s="5"/>
      <c r="J54" s="5"/>
      <c r="K54" s="5"/>
      <c r="L54" s="5"/>
      <c r="M54" s="5"/>
      <c r="N54" s="5"/>
      <c r="O54" s="5"/>
      <c r="P54" s="5"/>
      <c r="Q54" s="5"/>
      <c r="R54" s="5"/>
      <c r="S54" s="5"/>
    </row>
    <row r="55" ht="15.75" customHeight="1">
      <c r="A55" s="5"/>
      <c r="B55" s="5"/>
      <c r="C55" s="7"/>
      <c r="D55" s="5"/>
      <c r="E55" s="8"/>
      <c r="F55" s="5"/>
      <c r="G55" s="5"/>
      <c r="H55" s="5"/>
      <c r="I55" s="5"/>
      <c r="J55" s="5"/>
      <c r="K55" s="5"/>
      <c r="L55" s="5"/>
      <c r="M55" s="5"/>
      <c r="N55" s="5"/>
      <c r="O55" s="5"/>
      <c r="P55" s="5"/>
      <c r="Q55" s="5"/>
      <c r="R55" s="5"/>
      <c r="S55" s="5"/>
    </row>
    <row r="56" ht="15.75" customHeight="1">
      <c r="A56" s="5"/>
      <c r="B56" s="5"/>
      <c r="C56" s="7"/>
      <c r="D56" s="5"/>
      <c r="E56" s="8"/>
      <c r="F56" s="5"/>
      <c r="G56" s="5"/>
      <c r="H56" s="5"/>
      <c r="I56" s="5"/>
      <c r="J56" s="5"/>
      <c r="K56" s="5"/>
      <c r="L56" s="5"/>
      <c r="M56" s="5"/>
      <c r="N56" s="5"/>
      <c r="O56" s="5"/>
      <c r="P56" s="5"/>
      <c r="Q56" s="5"/>
      <c r="R56" s="5"/>
      <c r="S56" s="5"/>
    </row>
    <row r="57" ht="15.75" customHeight="1">
      <c r="A57" s="5"/>
      <c r="B57" s="5"/>
      <c r="C57" s="7"/>
      <c r="D57" s="5"/>
      <c r="E57" s="8"/>
      <c r="F57" s="5"/>
      <c r="G57" s="5"/>
      <c r="H57" s="5"/>
      <c r="I57" s="5"/>
      <c r="J57" s="5"/>
      <c r="K57" s="5"/>
      <c r="L57" s="5"/>
      <c r="M57" s="5"/>
      <c r="N57" s="5"/>
      <c r="O57" s="5"/>
      <c r="P57" s="5"/>
      <c r="Q57" s="5"/>
      <c r="R57" s="5"/>
      <c r="S57" s="5"/>
    </row>
    <row r="58" ht="15.75" customHeight="1">
      <c r="A58" s="5"/>
      <c r="B58" s="5"/>
      <c r="C58" s="7"/>
      <c r="D58" s="5"/>
      <c r="E58" s="8"/>
      <c r="F58" s="5"/>
      <c r="G58" s="5"/>
      <c r="H58" s="5"/>
      <c r="I58" s="5"/>
      <c r="J58" s="5"/>
      <c r="K58" s="5"/>
      <c r="L58" s="5"/>
      <c r="M58" s="5"/>
      <c r="N58" s="5"/>
      <c r="O58" s="5"/>
      <c r="P58" s="5"/>
      <c r="Q58" s="5"/>
      <c r="R58" s="5"/>
      <c r="S58" s="5"/>
    </row>
    <row r="59" ht="15.75" customHeight="1">
      <c r="A59" s="5"/>
      <c r="B59" s="5"/>
      <c r="C59" s="7"/>
      <c r="D59" s="5"/>
      <c r="E59" s="8"/>
      <c r="F59" s="5"/>
      <c r="G59" s="5"/>
      <c r="H59" s="5"/>
      <c r="I59" s="5"/>
      <c r="J59" s="5"/>
      <c r="K59" s="5"/>
      <c r="L59" s="5"/>
      <c r="M59" s="5"/>
      <c r="N59" s="5"/>
      <c r="O59" s="5"/>
      <c r="P59" s="5"/>
      <c r="Q59" s="5"/>
      <c r="R59" s="5"/>
      <c r="S59" s="5"/>
    </row>
    <row r="60" ht="15.75" customHeight="1">
      <c r="A60" s="5"/>
      <c r="B60" s="5"/>
      <c r="C60" s="7"/>
      <c r="D60" s="5"/>
      <c r="E60" s="8"/>
      <c r="F60" s="5"/>
      <c r="G60" s="5"/>
      <c r="H60" s="5"/>
      <c r="I60" s="5"/>
      <c r="J60" s="5"/>
      <c r="K60" s="5"/>
      <c r="L60" s="5"/>
      <c r="M60" s="5"/>
      <c r="N60" s="5"/>
      <c r="O60" s="5"/>
      <c r="P60" s="5"/>
      <c r="Q60" s="5"/>
      <c r="R60" s="5"/>
      <c r="S60" s="5"/>
    </row>
    <row r="61" ht="15.75" customHeight="1">
      <c r="A61" s="5"/>
      <c r="B61" s="5"/>
      <c r="C61" s="7"/>
      <c r="D61" s="5"/>
      <c r="E61" s="8"/>
      <c r="F61" s="5"/>
      <c r="G61" s="5"/>
      <c r="H61" s="5"/>
      <c r="I61" s="5"/>
      <c r="J61" s="5"/>
      <c r="K61" s="5"/>
      <c r="L61" s="5"/>
      <c r="M61" s="5"/>
      <c r="N61" s="5"/>
      <c r="O61" s="5"/>
      <c r="P61" s="5"/>
      <c r="Q61" s="5"/>
      <c r="R61" s="5"/>
      <c r="S61" s="5"/>
    </row>
    <row r="62" ht="15.75" customHeight="1">
      <c r="A62" s="5"/>
      <c r="B62" s="5"/>
      <c r="C62" s="7"/>
      <c r="D62" s="5"/>
      <c r="E62" s="8"/>
      <c r="F62" s="5"/>
      <c r="G62" s="5"/>
      <c r="H62" s="5"/>
      <c r="I62" s="5"/>
      <c r="J62" s="5"/>
      <c r="K62" s="5"/>
      <c r="L62" s="5"/>
      <c r="M62" s="5"/>
      <c r="N62" s="5"/>
      <c r="O62" s="5"/>
      <c r="P62" s="5"/>
      <c r="Q62" s="5"/>
      <c r="R62" s="5"/>
      <c r="S62" s="5"/>
    </row>
    <row r="63" ht="15.75" customHeight="1">
      <c r="A63" s="5"/>
      <c r="B63" s="5"/>
      <c r="C63" s="7"/>
      <c r="D63" s="5"/>
      <c r="E63" s="8"/>
      <c r="F63" s="5"/>
      <c r="G63" s="5"/>
      <c r="H63" s="5"/>
      <c r="I63" s="5"/>
      <c r="J63" s="5"/>
      <c r="K63" s="5"/>
      <c r="L63" s="5"/>
      <c r="M63" s="5"/>
      <c r="N63" s="5"/>
      <c r="O63" s="5"/>
      <c r="P63" s="5"/>
      <c r="Q63" s="5"/>
      <c r="R63" s="5"/>
      <c r="S63" s="5"/>
    </row>
    <row r="64" ht="15.75" customHeight="1">
      <c r="A64" s="5"/>
      <c r="B64" s="5"/>
      <c r="C64" s="7"/>
      <c r="D64" s="5"/>
      <c r="E64" s="8"/>
      <c r="F64" s="5"/>
      <c r="G64" s="5"/>
      <c r="H64" s="5"/>
      <c r="I64" s="5"/>
      <c r="J64" s="5"/>
      <c r="K64" s="5"/>
      <c r="L64" s="5"/>
      <c r="M64" s="5"/>
      <c r="N64" s="5"/>
      <c r="O64" s="5"/>
      <c r="P64" s="5"/>
      <c r="Q64" s="5"/>
      <c r="R64" s="5"/>
      <c r="S64" s="5"/>
    </row>
    <row r="65" ht="15.75" customHeight="1">
      <c r="A65" s="5"/>
      <c r="B65" s="5"/>
      <c r="C65" s="7"/>
      <c r="D65" s="5"/>
      <c r="E65" s="8"/>
      <c r="F65" s="5"/>
      <c r="G65" s="5"/>
      <c r="H65" s="5"/>
      <c r="I65" s="5"/>
      <c r="J65" s="5"/>
      <c r="K65" s="5"/>
      <c r="L65" s="5"/>
      <c r="M65" s="5"/>
      <c r="N65" s="5"/>
      <c r="O65" s="5"/>
      <c r="P65" s="5"/>
      <c r="Q65" s="5"/>
      <c r="R65" s="5"/>
      <c r="S65" s="5"/>
    </row>
    <row r="66" ht="15.75" customHeight="1">
      <c r="A66" s="5"/>
      <c r="B66" s="5"/>
      <c r="C66" s="7"/>
      <c r="D66" s="5"/>
      <c r="E66" s="8"/>
      <c r="F66" s="5"/>
      <c r="G66" s="5"/>
      <c r="H66" s="5"/>
      <c r="I66" s="5"/>
      <c r="J66" s="5"/>
      <c r="K66" s="5"/>
      <c r="L66" s="5"/>
      <c r="M66" s="5"/>
      <c r="N66" s="5"/>
      <c r="O66" s="5"/>
      <c r="P66" s="5"/>
      <c r="Q66" s="5"/>
      <c r="R66" s="5"/>
      <c r="S66" s="5"/>
    </row>
    <row r="67" ht="15.75" customHeight="1">
      <c r="A67" s="5"/>
      <c r="B67" s="5"/>
      <c r="C67" s="7"/>
      <c r="D67" s="5"/>
      <c r="E67" s="8"/>
      <c r="F67" s="5"/>
      <c r="G67" s="5"/>
      <c r="H67" s="5"/>
      <c r="I67" s="5"/>
      <c r="J67" s="5"/>
      <c r="K67" s="5"/>
      <c r="L67" s="5"/>
      <c r="M67" s="5"/>
      <c r="N67" s="5"/>
      <c r="O67" s="5"/>
      <c r="P67" s="5"/>
      <c r="Q67" s="5"/>
      <c r="R67" s="5"/>
      <c r="S67" s="5"/>
    </row>
    <row r="68" ht="15.75" customHeight="1">
      <c r="A68" s="5"/>
      <c r="B68" s="5"/>
      <c r="C68" s="7"/>
      <c r="D68" s="5"/>
      <c r="E68" s="8"/>
      <c r="F68" s="5"/>
      <c r="G68" s="5"/>
      <c r="H68" s="5"/>
      <c r="I68" s="5"/>
      <c r="J68" s="5"/>
      <c r="K68" s="5"/>
      <c r="L68" s="5"/>
      <c r="M68" s="5"/>
      <c r="N68" s="5"/>
      <c r="O68" s="5"/>
      <c r="P68" s="5"/>
      <c r="Q68" s="5"/>
      <c r="R68" s="5"/>
      <c r="S68" s="5"/>
    </row>
    <row r="69" ht="15.75" customHeight="1">
      <c r="A69" s="5"/>
      <c r="B69" s="5"/>
      <c r="C69" s="7"/>
      <c r="D69" s="5"/>
      <c r="E69" s="8"/>
      <c r="F69" s="5"/>
      <c r="G69" s="5"/>
      <c r="H69" s="5"/>
      <c r="I69" s="5"/>
      <c r="J69" s="5"/>
      <c r="K69" s="5"/>
      <c r="L69" s="5"/>
      <c r="M69" s="5"/>
      <c r="N69" s="5"/>
      <c r="O69" s="5"/>
      <c r="P69" s="5"/>
      <c r="Q69" s="5"/>
      <c r="R69" s="5"/>
      <c r="S69" s="5"/>
    </row>
    <row r="70" ht="15.75" customHeight="1">
      <c r="A70" s="5"/>
      <c r="B70" s="5"/>
      <c r="C70" s="7"/>
      <c r="D70" s="5"/>
      <c r="E70" s="8"/>
      <c r="F70" s="5"/>
      <c r="G70" s="5"/>
      <c r="H70" s="5"/>
      <c r="I70" s="5"/>
      <c r="J70" s="5"/>
      <c r="K70" s="5"/>
      <c r="L70" s="5"/>
      <c r="M70" s="5"/>
      <c r="N70" s="5"/>
      <c r="O70" s="5"/>
      <c r="P70" s="5"/>
      <c r="Q70" s="5"/>
      <c r="R70" s="5"/>
      <c r="S70" s="5"/>
    </row>
    <row r="71" ht="15.75" customHeight="1">
      <c r="A71" s="5"/>
      <c r="B71" s="5"/>
      <c r="C71" s="7"/>
      <c r="D71" s="5"/>
      <c r="E71" s="8"/>
      <c r="F71" s="5"/>
      <c r="G71" s="5"/>
      <c r="H71" s="5"/>
      <c r="I71" s="5"/>
      <c r="J71" s="5"/>
      <c r="K71" s="5"/>
      <c r="L71" s="5"/>
      <c r="M71" s="5"/>
      <c r="N71" s="5"/>
      <c r="O71" s="5"/>
      <c r="P71" s="5"/>
      <c r="Q71" s="5"/>
      <c r="R71" s="5"/>
      <c r="S71" s="5"/>
    </row>
    <row r="72" ht="15.75" customHeight="1">
      <c r="A72" s="5"/>
      <c r="B72" s="5"/>
      <c r="C72" s="7"/>
      <c r="D72" s="5"/>
      <c r="E72" s="8"/>
      <c r="F72" s="5"/>
      <c r="G72" s="5"/>
      <c r="H72" s="5"/>
      <c r="I72" s="5"/>
      <c r="J72" s="5"/>
      <c r="K72" s="5"/>
      <c r="L72" s="5"/>
      <c r="M72" s="5"/>
      <c r="N72" s="5"/>
      <c r="O72" s="5"/>
      <c r="P72" s="5"/>
      <c r="Q72" s="5"/>
      <c r="R72" s="5"/>
      <c r="S72" s="5"/>
    </row>
    <row r="73" ht="15.75" customHeight="1">
      <c r="A73" s="5"/>
      <c r="B73" s="5"/>
      <c r="C73" s="7"/>
      <c r="D73" s="5"/>
      <c r="E73" s="8"/>
      <c r="F73" s="5"/>
      <c r="G73" s="5"/>
      <c r="H73" s="5"/>
      <c r="I73" s="5"/>
      <c r="J73" s="5"/>
      <c r="K73" s="5"/>
      <c r="L73" s="5"/>
      <c r="M73" s="5"/>
      <c r="N73" s="5"/>
      <c r="O73" s="5"/>
      <c r="P73" s="5"/>
      <c r="Q73" s="5"/>
      <c r="R73" s="5"/>
      <c r="S73" s="5"/>
    </row>
    <row r="74" ht="15.75" customHeight="1">
      <c r="A74" s="5"/>
      <c r="B74" s="5"/>
      <c r="C74" s="7"/>
      <c r="D74" s="5"/>
      <c r="E74" s="8"/>
      <c r="F74" s="5"/>
      <c r="G74" s="5"/>
      <c r="H74" s="5"/>
      <c r="I74" s="5"/>
      <c r="J74" s="5"/>
      <c r="K74" s="5"/>
      <c r="L74" s="5"/>
      <c r="M74" s="5"/>
      <c r="N74" s="5"/>
      <c r="O74" s="5"/>
      <c r="P74" s="5"/>
      <c r="Q74" s="5"/>
      <c r="R74" s="5"/>
      <c r="S74" s="5"/>
    </row>
    <row r="75" ht="15.75" customHeight="1">
      <c r="A75" s="5"/>
      <c r="B75" s="5"/>
      <c r="C75" s="7"/>
      <c r="D75" s="5"/>
      <c r="E75" s="8"/>
      <c r="F75" s="5"/>
      <c r="G75" s="5"/>
      <c r="H75" s="5"/>
      <c r="I75" s="5"/>
      <c r="J75" s="5"/>
      <c r="K75" s="5"/>
      <c r="L75" s="5"/>
      <c r="M75" s="5"/>
      <c r="N75" s="5"/>
      <c r="O75" s="5"/>
      <c r="P75" s="5"/>
      <c r="Q75" s="5"/>
      <c r="R75" s="5"/>
      <c r="S75" s="5"/>
    </row>
    <row r="76" ht="15.75" customHeight="1">
      <c r="A76" s="5"/>
      <c r="B76" s="27" t="s">
        <v>105</v>
      </c>
      <c r="C76" s="28"/>
      <c r="D76" s="28"/>
      <c r="E76" s="29"/>
      <c r="F76" s="5"/>
      <c r="G76" s="5"/>
      <c r="H76" s="5"/>
      <c r="I76" s="5"/>
      <c r="J76" s="5"/>
      <c r="K76" s="5"/>
      <c r="L76" s="5"/>
      <c r="M76" s="5"/>
      <c r="N76" s="5"/>
      <c r="O76" s="5"/>
      <c r="P76" s="5"/>
      <c r="Q76" s="5"/>
      <c r="R76" s="5"/>
      <c r="S76" s="5"/>
    </row>
    <row r="77" ht="15.75" customHeight="1">
      <c r="A77" s="5"/>
      <c r="B77" s="5"/>
      <c r="C77" s="7"/>
      <c r="D77" s="5"/>
      <c r="E77" s="8"/>
      <c r="F77" s="5"/>
      <c r="G77" s="5"/>
      <c r="H77" s="5"/>
      <c r="I77" s="5"/>
      <c r="J77" s="5"/>
      <c r="K77" s="5"/>
      <c r="L77" s="5"/>
      <c r="M77" s="5"/>
      <c r="N77" s="5"/>
      <c r="O77" s="5"/>
      <c r="P77" s="5"/>
      <c r="Q77" s="5"/>
      <c r="R77" s="5"/>
      <c r="S77" s="5"/>
    </row>
    <row r="78" ht="15.75" customHeight="1">
      <c r="A78" s="5"/>
      <c r="B78" s="5"/>
      <c r="C78" s="7"/>
      <c r="D78" s="5"/>
      <c r="E78" s="8"/>
      <c r="F78" s="5"/>
      <c r="G78" s="5"/>
      <c r="H78" s="5"/>
      <c r="I78" s="5"/>
      <c r="J78" s="5"/>
      <c r="K78" s="5"/>
      <c r="L78" s="5"/>
      <c r="M78" s="5"/>
      <c r="N78" s="5"/>
      <c r="O78" s="5"/>
      <c r="P78" s="5"/>
      <c r="Q78" s="5"/>
      <c r="R78" s="5"/>
      <c r="S78" s="5"/>
    </row>
    <row r="79" ht="15.75" customHeight="1">
      <c r="A79" s="5"/>
      <c r="B79" s="16" t="s">
        <v>106</v>
      </c>
      <c r="C79" s="7"/>
      <c r="D79" s="5"/>
      <c r="E79" s="8"/>
      <c r="F79" s="5"/>
      <c r="G79" s="5"/>
      <c r="H79" s="5"/>
      <c r="I79" s="5"/>
      <c r="J79" s="5"/>
      <c r="K79" s="5"/>
      <c r="L79" s="5"/>
      <c r="M79" s="5"/>
      <c r="N79" s="5"/>
      <c r="O79" s="5"/>
      <c r="P79" s="5"/>
      <c r="Q79" s="5"/>
      <c r="R79" s="5"/>
      <c r="S79" s="5"/>
    </row>
    <row r="80" ht="15.75" customHeight="1">
      <c r="A80" s="5"/>
      <c r="B80" s="30" t="s">
        <v>107</v>
      </c>
      <c r="C80" s="20"/>
      <c r="D80" s="20"/>
      <c r="E80" s="21"/>
      <c r="F80" s="5"/>
      <c r="G80" s="5"/>
      <c r="H80" s="5"/>
      <c r="I80" s="5"/>
      <c r="J80" s="5"/>
      <c r="K80" s="5"/>
      <c r="L80" s="5"/>
      <c r="M80" s="5"/>
      <c r="N80" s="5"/>
      <c r="O80" s="5"/>
      <c r="P80" s="5"/>
      <c r="Q80" s="5"/>
      <c r="R80" s="5"/>
      <c r="S80" s="5"/>
    </row>
    <row r="81" ht="15.75" customHeight="1">
      <c r="A81" s="5"/>
      <c r="B81" s="31"/>
      <c r="E81" s="32"/>
      <c r="F81" s="5"/>
      <c r="G81" s="5"/>
      <c r="H81" s="5"/>
      <c r="I81" s="5"/>
      <c r="J81" s="5"/>
      <c r="K81" s="5"/>
      <c r="L81" s="5"/>
      <c r="M81" s="5"/>
      <c r="N81" s="5"/>
      <c r="O81" s="5"/>
      <c r="P81" s="5"/>
      <c r="Q81" s="5"/>
      <c r="R81" s="5"/>
      <c r="S81" s="5"/>
    </row>
    <row r="82" ht="15.75" customHeight="1">
      <c r="A82" s="5"/>
      <c r="B82" s="31"/>
      <c r="E82" s="32"/>
      <c r="F82" s="5"/>
      <c r="G82" s="5"/>
      <c r="H82" s="5"/>
      <c r="I82" s="5"/>
      <c r="J82" s="5"/>
      <c r="K82" s="5"/>
      <c r="L82" s="5"/>
      <c r="M82" s="5"/>
      <c r="N82" s="5"/>
      <c r="O82" s="5"/>
      <c r="P82" s="5"/>
      <c r="Q82" s="5"/>
      <c r="R82" s="5"/>
      <c r="S82" s="5"/>
    </row>
    <row r="83" ht="15.75" customHeight="1">
      <c r="A83" s="5"/>
      <c r="B83" s="31"/>
      <c r="E83" s="32"/>
      <c r="F83" s="5"/>
      <c r="G83" s="5"/>
      <c r="H83" s="5"/>
      <c r="I83" s="5"/>
      <c r="J83" s="5"/>
      <c r="K83" s="5"/>
      <c r="L83" s="5"/>
      <c r="M83" s="5"/>
      <c r="N83" s="5"/>
      <c r="O83" s="5"/>
      <c r="P83" s="5"/>
      <c r="Q83" s="5"/>
      <c r="R83" s="5"/>
      <c r="S83" s="5"/>
    </row>
    <row r="84" ht="15.75" customHeight="1">
      <c r="A84" s="5"/>
      <c r="B84" s="31"/>
      <c r="E84" s="32"/>
      <c r="F84" s="5"/>
      <c r="G84" s="5"/>
      <c r="H84" s="5"/>
      <c r="I84" s="5"/>
      <c r="J84" s="5"/>
      <c r="K84" s="5"/>
      <c r="L84" s="5"/>
      <c r="M84" s="5"/>
      <c r="N84" s="5"/>
      <c r="O84" s="5"/>
      <c r="P84" s="5"/>
      <c r="Q84" s="5"/>
      <c r="R84" s="5"/>
      <c r="S84" s="5"/>
    </row>
    <row r="85" ht="15.75" customHeight="1">
      <c r="A85" s="5"/>
      <c r="B85" s="31"/>
      <c r="E85" s="32"/>
      <c r="F85" s="5"/>
      <c r="G85" s="5"/>
      <c r="H85" s="5"/>
      <c r="I85" s="5"/>
      <c r="J85" s="5"/>
      <c r="K85" s="5"/>
      <c r="L85" s="5"/>
      <c r="M85" s="5"/>
      <c r="N85" s="5"/>
      <c r="O85" s="5"/>
      <c r="P85" s="5"/>
      <c r="Q85" s="5"/>
      <c r="R85" s="5"/>
      <c r="S85" s="5"/>
    </row>
    <row r="86" ht="15.75" customHeight="1">
      <c r="A86" s="5"/>
      <c r="B86" s="31"/>
      <c r="E86" s="32"/>
      <c r="F86" s="5"/>
      <c r="G86" s="5"/>
      <c r="H86" s="5"/>
      <c r="I86" s="5"/>
      <c r="J86" s="5"/>
      <c r="K86" s="5"/>
      <c r="L86" s="5"/>
      <c r="M86" s="5"/>
      <c r="N86" s="5"/>
      <c r="O86" s="5"/>
      <c r="P86" s="5"/>
      <c r="Q86" s="5"/>
      <c r="R86" s="5"/>
      <c r="S86" s="5"/>
    </row>
    <row r="87" ht="15.75" customHeight="1">
      <c r="A87" s="5"/>
      <c r="B87" s="31"/>
      <c r="E87" s="32"/>
      <c r="F87" s="5"/>
      <c r="G87" s="5"/>
      <c r="H87" s="5"/>
      <c r="I87" s="5"/>
      <c r="J87" s="5"/>
      <c r="K87" s="5"/>
      <c r="L87" s="5"/>
      <c r="M87" s="5"/>
      <c r="N87" s="5"/>
      <c r="O87" s="5"/>
      <c r="P87" s="5"/>
      <c r="Q87" s="5"/>
      <c r="R87" s="5"/>
      <c r="S87" s="5"/>
    </row>
    <row r="88" ht="15.75" customHeight="1">
      <c r="A88" s="5"/>
      <c r="B88" s="31"/>
      <c r="E88" s="32"/>
      <c r="F88" s="5"/>
      <c r="G88" s="5"/>
      <c r="H88" s="5"/>
      <c r="I88" s="5"/>
      <c r="J88" s="5"/>
      <c r="K88" s="5"/>
      <c r="L88" s="5"/>
      <c r="M88" s="5"/>
      <c r="N88" s="5"/>
      <c r="O88" s="5"/>
      <c r="P88" s="5"/>
      <c r="Q88" s="5"/>
      <c r="R88" s="5"/>
      <c r="S88" s="5"/>
    </row>
    <row r="89" ht="15.75" customHeight="1">
      <c r="A89" s="5"/>
      <c r="B89" s="31"/>
      <c r="E89" s="32"/>
      <c r="F89" s="5"/>
      <c r="G89" s="5"/>
      <c r="H89" s="5"/>
      <c r="I89" s="5"/>
      <c r="J89" s="5"/>
      <c r="K89" s="5"/>
      <c r="L89" s="5"/>
      <c r="M89" s="5"/>
      <c r="N89" s="5"/>
      <c r="O89" s="5"/>
      <c r="P89" s="5"/>
      <c r="Q89" s="5"/>
      <c r="R89" s="5"/>
      <c r="S89" s="5"/>
    </row>
    <row r="90" ht="15.75" customHeight="1">
      <c r="A90" s="5"/>
      <c r="B90" s="31"/>
      <c r="E90" s="32"/>
      <c r="F90" s="5"/>
      <c r="G90" s="5"/>
      <c r="H90" s="5"/>
      <c r="I90" s="5"/>
      <c r="J90" s="5"/>
      <c r="K90" s="5"/>
      <c r="L90" s="5"/>
      <c r="M90" s="5"/>
      <c r="N90" s="5"/>
      <c r="O90" s="5"/>
      <c r="P90" s="5"/>
      <c r="Q90" s="5"/>
      <c r="R90" s="5"/>
      <c r="S90" s="5"/>
    </row>
    <row r="91" ht="15.75" customHeight="1">
      <c r="A91" s="5"/>
      <c r="B91" s="31"/>
      <c r="E91" s="32"/>
      <c r="F91" s="5"/>
      <c r="G91" s="5"/>
      <c r="H91" s="5"/>
      <c r="I91" s="5"/>
      <c r="J91" s="5"/>
      <c r="K91" s="5"/>
      <c r="L91" s="5"/>
      <c r="M91" s="5"/>
      <c r="N91" s="5"/>
      <c r="O91" s="5"/>
      <c r="P91" s="5"/>
      <c r="Q91" s="5"/>
      <c r="R91" s="5"/>
      <c r="S91" s="5"/>
    </row>
    <row r="92" ht="15.75" customHeight="1">
      <c r="A92" s="5"/>
      <c r="B92" s="31"/>
      <c r="E92" s="32"/>
      <c r="F92" s="5"/>
      <c r="G92" s="5"/>
      <c r="H92" s="5"/>
      <c r="I92" s="5"/>
      <c r="J92" s="5"/>
      <c r="K92" s="5"/>
      <c r="L92" s="5"/>
      <c r="M92" s="5"/>
      <c r="N92" s="5"/>
      <c r="O92" s="5"/>
      <c r="P92" s="5"/>
      <c r="Q92" s="5"/>
      <c r="R92" s="5"/>
      <c r="S92" s="5"/>
    </row>
    <row r="93" ht="15.75" customHeight="1">
      <c r="A93" s="5"/>
      <c r="B93" s="31"/>
      <c r="E93" s="32"/>
      <c r="F93" s="5"/>
      <c r="G93" s="5"/>
      <c r="H93" s="5"/>
      <c r="I93" s="5"/>
      <c r="J93" s="5"/>
      <c r="K93" s="5"/>
      <c r="L93" s="5"/>
      <c r="M93" s="5"/>
      <c r="N93" s="5"/>
      <c r="O93" s="5"/>
      <c r="P93" s="5"/>
      <c r="Q93" s="5"/>
      <c r="R93" s="5"/>
      <c r="S93" s="5"/>
    </row>
    <row r="94" ht="15.75" customHeight="1">
      <c r="A94" s="5"/>
      <c r="B94" s="31"/>
      <c r="E94" s="32"/>
      <c r="F94" s="5"/>
      <c r="G94" s="5"/>
      <c r="H94" s="5"/>
      <c r="I94" s="5"/>
      <c r="J94" s="5"/>
      <c r="K94" s="5"/>
      <c r="L94" s="5"/>
      <c r="M94" s="5"/>
      <c r="N94" s="5"/>
      <c r="O94" s="5"/>
      <c r="P94" s="5"/>
      <c r="Q94" s="5"/>
      <c r="R94" s="5"/>
      <c r="S94" s="5"/>
    </row>
    <row r="95" ht="15.75" customHeight="1">
      <c r="A95" s="5"/>
      <c r="B95" s="31"/>
      <c r="E95" s="32"/>
      <c r="F95" s="5"/>
      <c r="G95" s="5"/>
      <c r="H95" s="5"/>
      <c r="I95" s="5"/>
      <c r="J95" s="5"/>
      <c r="K95" s="5"/>
      <c r="L95" s="5"/>
      <c r="M95" s="5"/>
      <c r="N95" s="5"/>
      <c r="O95" s="5"/>
      <c r="P95" s="5"/>
      <c r="Q95" s="5"/>
      <c r="R95" s="5"/>
      <c r="S95" s="5"/>
    </row>
    <row r="96" ht="15.75" customHeight="1">
      <c r="A96" s="5"/>
      <c r="B96" s="31"/>
      <c r="E96" s="32"/>
      <c r="F96" s="5"/>
      <c r="G96" s="5"/>
      <c r="H96" s="5"/>
      <c r="I96" s="5"/>
      <c r="J96" s="5"/>
      <c r="K96" s="5"/>
      <c r="L96" s="5"/>
      <c r="M96" s="5"/>
      <c r="N96" s="5"/>
      <c r="O96" s="5"/>
      <c r="P96" s="5"/>
      <c r="Q96" s="5"/>
      <c r="R96" s="5"/>
      <c r="S96" s="5"/>
    </row>
    <row r="97" ht="15.75" customHeight="1">
      <c r="A97" s="5"/>
      <c r="B97" s="31"/>
      <c r="E97" s="32"/>
      <c r="F97" s="5"/>
      <c r="G97" s="5"/>
      <c r="H97" s="5"/>
      <c r="I97" s="5"/>
      <c r="J97" s="5"/>
      <c r="K97" s="5"/>
      <c r="L97" s="5"/>
      <c r="M97" s="5"/>
      <c r="N97" s="5"/>
      <c r="O97" s="5"/>
      <c r="P97" s="5"/>
      <c r="Q97" s="5"/>
      <c r="R97" s="5"/>
      <c r="S97" s="5"/>
    </row>
    <row r="98" ht="15.75" customHeight="1">
      <c r="A98" s="5"/>
      <c r="B98" s="31"/>
      <c r="E98" s="32"/>
      <c r="F98" s="5"/>
      <c r="G98" s="5"/>
      <c r="H98" s="5"/>
      <c r="I98" s="5"/>
      <c r="J98" s="5"/>
      <c r="K98" s="5"/>
      <c r="L98" s="5"/>
      <c r="M98" s="5"/>
      <c r="N98" s="5"/>
      <c r="O98" s="5"/>
      <c r="P98" s="5"/>
      <c r="Q98" s="5"/>
      <c r="R98" s="5"/>
      <c r="S98" s="5"/>
    </row>
    <row r="99" ht="15.75" customHeight="1">
      <c r="A99" s="5"/>
      <c r="B99" s="31"/>
      <c r="E99" s="32"/>
      <c r="F99" s="5"/>
      <c r="G99" s="5"/>
      <c r="H99" s="5"/>
      <c r="I99" s="5"/>
      <c r="J99" s="5"/>
      <c r="K99" s="5"/>
      <c r="L99" s="5"/>
      <c r="M99" s="5"/>
      <c r="N99" s="5"/>
      <c r="O99" s="5"/>
      <c r="P99" s="5"/>
      <c r="Q99" s="5"/>
      <c r="R99" s="5"/>
      <c r="S99" s="5"/>
    </row>
    <row r="100" ht="15.75" customHeight="1">
      <c r="A100" s="5"/>
      <c r="B100" s="31"/>
      <c r="E100" s="32"/>
      <c r="F100" s="5"/>
      <c r="G100" s="5"/>
      <c r="H100" s="5"/>
      <c r="I100" s="5"/>
      <c r="J100" s="5"/>
      <c r="K100" s="5"/>
      <c r="L100" s="5"/>
      <c r="M100" s="5"/>
      <c r="N100" s="5"/>
      <c r="O100" s="5"/>
      <c r="P100" s="5"/>
      <c r="Q100" s="5"/>
      <c r="R100" s="5"/>
      <c r="S100" s="5"/>
    </row>
    <row r="101" ht="15.75" customHeight="1">
      <c r="A101" s="5"/>
      <c r="B101" s="31"/>
      <c r="E101" s="32"/>
      <c r="F101" s="5"/>
      <c r="G101" s="5"/>
      <c r="H101" s="5"/>
      <c r="I101" s="5"/>
      <c r="J101" s="5"/>
      <c r="K101" s="5"/>
      <c r="L101" s="5"/>
      <c r="M101" s="5"/>
      <c r="N101" s="5"/>
      <c r="O101" s="5"/>
      <c r="P101" s="5"/>
      <c r="Q101" s="5"/>
      <c r="R101" s="5"/>
      <c r="S101" s="5"/>
    </row>
    <row r="102" ht="15.75" customHeight="1">
      <c r="A102" s="5"/>
      <c r="B102" s="33"/>
      <c r="C102" s="25"/>
      <c r="D102" s="25"/>
      <c r="E102" s="26"/>
      <c r="F102" s="5"/>
      <c r="G102" s="5"/>
      <c r="H102" s="5"/>
      <c r="I102" s="5"/>
      <c r="J102" s="5"/>
      <c r="K102" s="5"/>
      <c r="L102" s="5"/>
      <c r="M102" s="5"/>
      <c r="N102" s="5"/>
      <c r="O102" s="5"/>
      <c r="P102" s="5"/>
      <c r="Q102" s="5"/>
      <c r="R102" s="5"/>
      <c r="S102" s="5"/>
    </row>
    <row r="103" ht="15.75" customHeight="1">
      <c r="A103" s="5"/>
      <c r="B103" s="5"/>
      <c r="C103" s="7"/>
      <c r="D103" s="5"/>
      <c r="E103" s="8"/>
      <c r="F103" s="5"/>
      <c r="G103" s="5"/>
      <c r="H103" s="5"/>
      <c r="I103" s="5"/>
      <c r="J103" s="5"/>
      <c r="K103" s="5"/>
      <c r="L103" s="5"/>
      <c r="M103" s="5"/>
      <c r="N103" s="5"/>
      <c r="O103" s="5"/>
      <c r="P103" s="5"/>
      <c r="Q103" s="5"/>
      <c r="R103" s="5"/>
      <c r="S103" s="5"/>
    </row>
    <row r="104" ht="15.75" customHeight="1">
      <c r="A104" s="5"/>
      <c r="B104" s="5"/>
      <c r="C104" s="7"/>
      <c r="D104" s="5"/>
      <c r="E104" s="8"/>
      <c r="F104" s="5"/>
      <c r="G104" s="5"/>
      <c r="H104" s="5"/>
      <c r="I104" s="5"/>
      <c r="J104" s="5"/>
      <c r="K104" s="5"/>
      <c r="L104" s="5"/>
      <c r="M104" s="5"/>
      <c r="N104" s="5"/>
      <c r="O104" s="5"/>
      <c r="P104" s="5"/>
      <c r="Q104" s="5"/>
      <c r="R104" s="5"/>
      <c r="S104" s="5"/>
    </row>
    <row r="105" ht="15.75" customHeight="1">
      <c r="A105" s="5"/>
      <c r="B105" s="5"/>
      <c r="C105" s="7"/>
      <c r="D105" s="5"/>
      <c r="E105" s="8"/>
      <c r="F105" s="5"/>
      <c r="G105" s="5"/>
      <c r="H105" s="5"/>
      <c r="I105" s="5"/>
      <c r="J105" s="5"/>
      <c r="K105" s="5"/>
      <c r="L105" s="5"/>
      <c r="M105" s="5"/>
      <c r="N105" s="5"/>
      <c r="O105" s="5"/>
      <c r="P105" s="5"/>
      <c r="Q105" s="5"/>
      <c r="R105" s="5"/>
      <c r="S105" s="5"/>
    </row>
    <row r="106" ht="15.75" customHeight="1">
      <c r="A106" s="5"/>
      <c r="B106" s="5"/>
      <c r="C106" s="7"/>
      <c r="D106" s="5"/>
      <c r="E106" s="8"/>
      <c r="F106" s="5"/>
      <c r="G106" s="5"/>
      <c r="H106" s="5"/>
      <c r="I106" s="5"/>
      <c r="J106" s="5"/>
      <c r="K106" s="5"/>
      <c r="L106" s="5"/>
      <c r="M106" s="5"/>
      <c r="N106" s="5"/>
      <c r="O106" s="5"/>
      <c r="P106" s="5"/>
      <c r="Q106" s="5"/>
      <c r="R106" s="5"/>
      <c r="S106" s="5"/>
    </row>
    <row r="107" ht="15.75" customHeight="1">
      <c r="A107" s="5"/>
      <c r="B107" s="5"/>
      <c r="C107" s="7"/>
      <c r="D107" s="5"/>
      <c r="E107" s="8"/>
      <c r="F107" s="5"/>
      <c r="G107" s="5"/>
      <c r="H107" s="5"/>
      <c r="I107" s="5"/>
      <c r="J107" s="5"/>
      <c r="K107" s="5"/>
      <c r="L107" s="5"/>
      <c r="M107" s="5"/>
      <c r="N107" s="5"/>
      <c r="O107" s="5"/>
      <c r="P107" s="5"/>
      <c r="Q107" s="5"/>
      <c r="R107" s="5"/>
      <c r="S107" s="5"/>
    </row>
    <row r="108" ht="15.75" customHeight="1">
      <c r="A108" s="5"/>
      <c r="B108" s="5"/>
      <c r="C108" s="7"/>
      <c r="D108" s="5"/>
      <c r="E108" s="8"/>
      <c r="F108" s="5"/>
      <c r="G108" s="5"/>
      <c r="H108" s="5"/>
      <c r="I108" s="5"/>
      <c r="J108" s="5"/>
      <c r="K108" s="5"/>
      <c r="L108" s="5"/>
      <c r="M108" s="5"/>
      <c r="N108" s="5"/>
      <c r="O108" s="5"/>
      <c r="P108" s="5"/>
      <c r="Q108" s="5"/>
      <c r="R108" s="5"/>
      <c r="S108" s="5"/>
    </row>
    <row r="109" ht="15.75" customHeight="1">
      <c r="A109" s="5"/>
      <c r="B109" s="5"/>
      <c r="C109" s="7"/>
      <c r="D109" s="5"/>
      <c r="E109" s="8"/>
      <c r="F109" s="5"/>
      <c r="G109" s="5"/>
      <c r="H109" s="5"/>
      <c r="I109" s="5"/>
      <c r="J109" s="5"/>
      <c r="K109" s="5"/>
      <c r="L109" s="5"/>
      <c r="M109" s="5"/>
      <c r="N109" s="5"/>
      <c r="O109" s="5"/>
      <c r="P109" s="5"/>
      <c r="Q109" s="5"/>
      <c r="R109" s="5"/>
      <c r="S109" s="5"/>
    </row>
    <row r="110" ht="15.75" customHeight="1">
      <c r="A110" s="5"/>
      <c r="B110" s="5"/>
      <c r="C110" s="7"/>
      <c r="D110" s="5"/>
      <c r="E110" s="8"/>
      <c r="F110" s="5"/>
      <c r="G110" s="5"/>
      <c r="H110" s="5"/>
      <c r="I110" s="5"/>
      <c r="J110" s="5"/>
      <c r="K110" s="5"/>
      <c r="L110" s="5"/>
      <c r="M110" s="5"/>
      <c r="N110" s="5"/>
      <c r="O110" s="5"/>
      <c r="P110" s="5"/>
      <c r="Q110" s="5"/>
      <c r="R110" s="5"/>
      <c r="S110" s="5"/>
    </row>
    <row r="111" ht="15.75" customHeight="1">
      <c r="A111" s="5"/>
      <c r="B111" s="5"/>
      <c r="C111" s="7"/>
      <c r="D111" s="5"/>
      <c r="E111" s="8"/>
      <c r="F111" s="5"/>
      <c r="G111" s="5"/>
      <c r="H111" s="5"/>
      <c r="I111" s="5"/>
      <c r="J111" s="5"/>
      <c r="K111" s="5"/>
      <c r="L111" s="5"/>
      <c r="M111" s="5"/>
      <c r="N111" s="5"/>
      <c r="O111" s="5"/>
      <c r="P111" s="5"/>
      <c r="Q111" s="5"/>
      <c r="R111" s="5"/>
      <c r="S111" s="5"/>
    </row>
    <row r="112" ht="15.75" customHeight="1">
      <c r="A112" s="5"/>
      <c r="B112" s="5"/>
      <c r="C112" s="7"/>
      <c r="D112" s="5"/>
      <c r="E112" s="8"/>
      <c r="F112" s="5"/>
      <c r="G112" s="5"/>
      <c r="H112" s="5"/>
      <c r="I112" s="5"/>
      <c r="J112" s="5"/>
      <c r="K112" s="5"/>
      <c r="L112" s="5"/>
      <c r="M112" s="5"/>
      <c r="N112" s="5"/>
      <c r="O112" s="5"/>
      <c r="P112" s="5"/>
      <c r="Q112" s="5"/>
      <c r="R112" s="5"/>
      <c r="S112" s="5"/>
    </row>
    <row r="113" ht="15.75" customHeight="1">
      <c r="A113" s="5"/>
      <c r="B113" s="5"/>
      <c r="C113" s="7"/>
      <c r="D113" s="5"/>
      <c r="E113" s="8"/>
      <c r="F113" s="5"/>
      <c r="G113" s="5"/>
      <c r="H113" s="5"/>
      <c r="I113" s="5"/>
      <c r="J113" s="5"/>
      <c r="K113" s="5"/>
      <c r="L113" s="5"/>
      <c r="M113" s="5"/>
      <c r="N113" s="5"/>
      <c r="O113" s="5"/>
      <c r="P113" s="5"/>
      <c r="Q113" s="5"/>
      <c r="R113" s="5"/>
      <c r="S113" s="5"/>
    </row>
    <row r="114" ht="15.75" customHeight="1">
      <c r="A114" s="5"/>
      <c r="B114" s="5"/>
      <c r="C114" s="7"/>
      <c r="D114" s="5"/>
      <c r="E114" s="8"/>
      <c r="F114" s="5"/>
      <c r="G114" s="5"/>
      <c r="H114" s="5"/>
      <c r="I114" s="5"/>
      <c r="J114" s="5"/>
      <c r="K114" s="5"/>
      <c r="L114" s="5"/>
      <c r="M114" s="5"/>
      <c r="N114" s="5"/>
      <c r="O114" s="5"/>
      <c r="P114" s="5"/>
      <c r="Q114" s="5"/>
      <c r="R114" s="5"/>
      <c r="S114" s="5"/>
    </row>
    <row r="115" ht="15.75" customHeight="1">
      <c r="A115" s="5"/>
      <c r="B115" s="5"/>
      <c r="C115" s="7"/>
      <c r="D115" s="5"/>
      <c r="E115" s="8"/>
      <c r="F115" s="5"/>
      <c r="G115" s="5"/>
      <c r="H115" s="5"/>
      <c r="I115" s="5"/>
      <c r="J115" s="5"/>
      <c r="K115" s="5"/>
      <c r="L115" s="5"/>
      <c r="M115" s="5"/>
      <c r="N115" s="5"/>
      <c r="O115" s="5"/>
      <c r="P115" s="5"/>
      <c r="Q115" s="5"/>
      <c r="R115" s="5"/>
      <c r="S115" s="5"/>
    </row>
    <row r="116" ht="15.75" customHeight="1">
      <c r="A116" s="5"/>
      <c r="B116" s="5"/>
      <c r="C116" s="7"/>
      <c r="D116" s="5"/>
      <c r="E116" s="8"/>
      <c r="F116" s="5"/>
      <c r="G116" s="5"/>
      <c r="H116" s="5"/>
      <c r="I116" s="5"/>
      <c r="J116" s="5"/>
      <c r="K116" s="5"/>
      <c r="L116" s="5"/>
      <c r="M116" s="5"/>
      <c r="N116" s="5"/>
      <c r="O116" s="5"/>
      <c r="P116" s="5"/>
      <c r="Q116" s="5"/>
      <c r="R116" s="5"/>
      <c r="S116" s="5"/>
    </row>
    <row r="117" ht="15.75" customHeight="1">
      <c r="A117" s="5"/>
      <c r="B117" s="5"/>
      <c r="C117" s="7"/>
      <c r="D117" s="5"/>
      <c r="E117" s="8"/>
      <c r="F117" s="5"/>
      <c r="G117" s="5"/>
      <c r="H117" s="5"/>
      <c r="I117" s="5"/>
      <c r="J117" s="5"/>
      <c r="K117" s="5"/>
      <c r="L117" s="5"/>
      <c r="M117" s="5"/>
      <c r="N117" s="5"/>
      <c r="O117" s="5"/>
      <c r="P117" s="5"/>
      <c r="Q117" s="5"/>
      <c r="R117" s="5"/>
      <c r="S117" s="5"/>
    </row>
    <row r="118" ht="15.75" customHeight="1">
      <c r="A118" s="5"/>
      <c r="B118" s="5"/>
      <c r="C118" s="7"/>
      <c r="D118" s="5"/>
      <c r="E118" s="8"/>
      <c r="F118" s="5"/>
      <c r="G118" s="5"/>
      <c r="H118" s="5"/>
      <c r="I118" s="5"/>
      <c r="J118" s="5"/>
      <c r="K118" s="5"/>
      <c r="L118" s="5"/>
      <c r="M118" s="5"/>
      <c r="N118" s="5"/>
      <c r="O118" s="5"/>
      <c r="P118" s="5"/>
      <c r="Q118" s="5"/>
      <c r="R118" s="5"/>
      <c r="S118" s="5"/>
    </row>
    <row r="119" ht="15.75" customHeight="1">
      <c r="A119" s="5"/>
      <c r="B119" s="5"/>
      <c r="C119" s="7"/>
      <c r="D119" s="5"/>
      <c r="E119" s="8"/>
      <c r="F119" s="5"/>
      <c r="G119" s="5"/>
      <c r="H119" s="5"/>
      <c r="I119" s="5"/>
      <c r="J119" s="5"/>
      <c r="K119" s="5"/>
      <c r="L119" s="5"/>
      <c r="M119" s="5"/>
      <c r="N119" s="5"/>
      <c r="O119" s="5"/>
      <c r="P119" s="5"/>
      <c r="Q119" s="5"/>
      <c r="R119" s="5"/>
      <c r="S119" s="5"/>
    </row>
    <row r="120" ht="15.75" customHeight="1">
      <c r="A120" s="5"/>
      <c r="B120" s="5"/>
      <c r="C120" s="7"/>
      <c r="D120" s="5"/>
      <c r="E120" s="8"/>
      <c r="F120" s="5"/>
      <c r="G120" s="5"/>
      <c r="H120" s="5"/>
      <c r="I120" s="5"/>
      <c r="J120" s="5"/>
      <c r="K120" s="5"/>
      <c r="L120" s="5"/>
      <c r="M120" s="5"/>
      <c r="N120" s="5"/>
      <c r="O120" s="5"/>
      <c r="P120" s="5"/>
      <c r="Q120" s="5"/>
      <c r="R120" s="5"/>
      <c r="S120" s="5"/>
    </row>
    <row r="121" ht="15.75" customHeight="1">
      <c r="A121" s="5"/>
      <c r="B121" s="5"/>
      <c r="C121" s="7"/>
      <c r="D121" s="5"/>
      <c r="E121" s="8"/>
      <c r="F121" s="5"/>
      <c r="G121" s="5"/>
      <c r="H121" s="5"/>
      <c r="I121" s="5"/>
      <c r="J121" s="5"/>
      <c r="K121" s="5"/>
      <c r="L121" s="5"/>
      <c r="M121" s="5"/>
      <c r="N121" s="5"/>
      <c r="O121" s="5"/>
      <c r="P121" s="5"/>
      <c r="Q121" s="5"/>
      <c r="R121" s="5"/>
      <c r="S121" s="5"/>
    </row>
    <row r="122" ht="15.75" customHeight="1">
      <c r="A122" s="5"/>
      <c r="B122" s="5"/>
      <c r="C122" s="7"/>
      <c r="D122" s="5"/>
      <c r="E122" s="8"/>
      <c r="F122" s="5"/>
      <c r="G122" s="5"/>
      <c r="H122" s="5"/>
      <c r="I122" s="5"/>
      <c r="J122" s="5"/>
      <c r="K122" s="5"/>
      <c r="L122" s="5"/>
      <c r="M122" s="5"/>
      <c r="N122" s="5"/>
      <c r="O122" s="5"/>
      <c r="P122" s="5"/>
      <c r="Q122" s="5"/>
      <c r="R122" s="5"/>
      <c r="S122" s="5"/>
    </row>
    <row r="123" ht="15.75" customHeight="1">
      <c r="A123" s="5"/>
      <c r="B123" s="5"/>
      <c r="C123" s="7"/>
      <c r="D123" s="5"/>
      <c r="E123" s="8"/>
      <c r="F123" s="5"/>
      <c r="G123" s="5"/>
      <c r="H123" s="5"/>
      <c r="I123" s="5"/>
      <c r="J123" s="5"/>
      <c r="K123" s="5"/>
      <c r="L123" s="5"/>
      <c r="M123" s="5"/>
      <c r="N123" s="5"/>
      <c r="O123" s="5"/>
      <c r="P123" s="5"/>
      <c r="Q123" s="5"/>
      <c r="R123" s="5"/>
      <c r="S123" s="5"/>
    </row>
    <row r="124" ht="15.75" customHeight="1">
      <c r="A124" s="5"/>
      <c r="B124" s="5"/>
      <c r="C124" s="7"/>
      <c r="D124" s="5"/>
      <c r="E124" s="8"/>
      <c r="F124" s="5"/>
      <c r="G124" s="5"/>
      <c r="H124" s="5"/>
      <c r="I124" s="5"/>
      <c r="J124" s="5"/>
      <c r="K124" s="5"/>
      <c r="L124" s="5"/>
      <c r="M124" s="5"/>
      <c r="N124" s="5"/>
      <c r="O124" s="5"/>
      <c r="P124" s="5"/>
      <c r="Q124" s="5"/>
      <c r="R124" s="5"/>
      <c r="S124" s="5"/>
    </row>
    <row r="125" ht="15.75" customHeight="1">
      <c r="A125" s="5"/>
      <c r="B125" s="5"/>
      <c r="C125" s="7"/>
      <c r="D125" s="5"/>
      <c r="E125" s="8"/>
      <c r="F125" s="5"/>
      <c r="G125" s="5"/>
      <c r="H125" s="5"/>
      <c r="I125" s="5"/>
      <c r="J125" s="5"/>
      <c r="K125" s="5"/>
      <c r="L125" s="5"/>
      <c r="M125" s="5"/>
      <c r="N125" s="5"/>
      <c r="O125" s="5"/>
      <c r="P125" s="5"/>
      <c r="Q125" s="5"/>
      <c r="R125" s="5"/>
      <c r="S125" s="5"/>
    </row>
    <row r="126" ht="15.75" customHeight="1">
      <c r="A126" s="5"/>
      <c r="B126" s="5"/>
      <c r="C126" s="7"/>
      <c r="D126" s="5"/>
      <c r="E126" s="8"/>
      <c r="F126" s="5"/>
      <c r="G126" s="5"/>
      <c r="H126" s="5"/>
      <c r="I126" s="5"/>
      <c r="J126" s="5"/>
      <c r="K126" s="5"/>
      <c r="L126" s="5"/>
      <c r="M126" s="5"/>
      <c r="N126" s="5"/>
      <c r="O126" s="5"/>
      <c r="P126" s="5"/>
      <c r="Q126" s="5"/>
      <c r="R126" s="5"/>
      <c r="S126" s="5"/>
    </row>
    <row r="127" ht="15.75" customHeight="1">
      <c r="A127" s="5"/>
      <c r="B127" s="5"/>
      <c r="C127" s="7"/>
      <c r="D127" s="5"/>
      <c r="E127" s="8"/>
      <c r="F127" s="5"/>
      <c r="G127" s="5"/>
      <c r="H127" s="5"/>
      <c r="I127" s="5"/>
      <c r="J127" s="5"/>
      <c r="K127" s="5"/>
      <c r="L127" s="5"/>
      <c r="M127" s="5"/>
      <c r="N127" s="5"/>
      <c r="O127" s="5"/>
      <c r="P127" s="5"/>
      <c r="Q127" s="5"/>
      <c r="R127" s="5"/>
      <c r="S127" s="5"/>
    </row>
    <row r="128" ht="15.75" customHeight="1">
      <c r="A128" s="5"/>
      <c r="B128" s="5"/>
      <c r="C128" s="7"/>
      <c r="D128" s="5"/>
      <c r="E128" s="8"/>
      <c r="F128" s="5"/>
      <c r="G128" s="5"/>
      <c r="H128" s="5"/>
      <c r="I128" s="5"/>
      <c r="J128" s="5"/>
      <c r="K128" s="5"/>
      <c r="L128" s="5"/>
      <c r="M128" s="5"/>
      <c r="N128" s="5"/>
      <c r="O128" s="5"/>
      <c r="P128" s="5"/>
      <c r="Q128" s="5"/>
      <c r="R128" s="5"/>
      <c r="S128" s="5"/>
    </row>
    <row r="129" ht="15.75" customHeight="1">
      <c r="A129" s="5"/>
      <c r="B129" s="5"/>
      <c r="C129" s="7"/>
      <c r="D129" s="5"/>
      <c r="E129" s="8"/>
      <c r="F129" s="5"/>
      <c r="G129" s="5"/>
      <c r="H129" s="5"/>
      <c r="I129" s="5"/>
      <c r="J129" s="5"/>
      <c r="K129" s="5"/>
      <c r="L129" s="5"/>
      <c r="M129" s="5"/>
      <c r="N129" s="5"/>
      <c r="O129" s="5"/>
      <c r="P129" s="5"/>
      <c r="Q129" s="5"/>
      <c r="R129" s="5"/>
      <c r="S129" s="5"/>
    </row>
    <row r="130" ht="15.75" customHeight="1">
      <c r="A130" s="5"/>
      <c r="B130" s="5"/>
      <c r="C130" s="7"/>
      <c r="D130" s="5"/>
      <c r="E130" s="8"/>
      <c r="F130" s="5"/>
      <c r="G130" s="5"/>
      <c r="H130" s="5"/>
      <c r="I130" s="5"/>
      <c r="J130" s="5"/>
      <c r="K130" s="5"/>
      <c r="L130" s="5"/>
      <c r="M130" s="5"/>
      <c r="N130" s="5"/>
      <c r="O130" s="5"/>
      <c r="P130" s="5"/>
      <c r="Q130" s="5"/>
      <c r="R130" s="5"/>
      <c r="S130" s="5"/>
    </row>
    <row r="131" ht="15.75" customHeight="1">
      <c r="A131" s="5"/>
      <c r="B131" s="5"/>
      <c r="C131" s="7"/>
      <c r="D131" s="5"/>
      <c r="E131" s="8"/>
      <c r="F131" s="5"/>
      <c r="G131" s="5"/>
      <c r="H131" s="5"/>
      <c r="I131" s="5"/>
      <c r="J131" s="5"/>
      <c r="K131" s="5"/>
      <c r="L131" s="5"/>
      <c r="M131" s="5"/>
      <c r="N131" s="5"/>
      <c r="O131" s="5"/>
      <c r="P131" s="5"/>
      <c r="Q131" s="5"/>
      <c r="R131" s="5"/>
      <c r="S131" s="5"/>
    </row>
    <row r="132" ht="15.75" customHeight="1">
      <c r="A132" s="5"/>
      <c r="B132" s="5"/>
      <c r="C132" s="7"/>
      <c r="D132" s="5"/>
      <c r="E132" s="8"/>
      <c r="F132" s="5"/>
      <c r="G132" s="5"/>
      <c r="H132" s="5"/>
      <c r="I132" s="5"/>
      <c r="J132" s="5"/>
      <c r="K132" s="5"/>
      <c r="L132" s="5"/>
      <c r="M132" s="5"/>
      <c r="N132" s="5"/>
      <c r="O132" s="5"/>
      <c r="P132" s="5"/>
      <c r="Q132" s="5"/>
      <c r="R132" s="5"/>
      <c r="S132" s="5"/>
    </row>
    <row r="133" ht="15.75" customHeight="1">
      <c r="A133" s="5"/>
      <c r="B133" s="5"/>
      <c r="C133" s="7"/>
      <c r="D133" s="5"/>
      <c r="E133" s="8"/>
      <c r="F133" s="5"/>
      <c r="G133" s="5"/>
      <c r="H133" s="5"/>
      <c r="I133" s="5"/>
      <c r="J133" s="5"/>
      <c r="K133" s="5"/>
      <c r="L133" s="5"/>
      <c r="M133" s="5"/>
      <c r="N133" s="5"/>
      <c r="O133" s="5"/>
      <c r="P133" s="5"/>
      <c r="Q133" s="5"/>
      <c r="R133" s="5"/>
      <c r="S133" s="5"/>
    </row>
    <row r="134" ht="15.75" customHeight="1">
      <c r="A134" s="5"/>
      <c r="B134" s="5"/>
      <c r="C134" s="7"/>
      <c r="D134" s="5"/>
      <c r="E134" s="8"/>
      <c r="F134" s="5"/>
      <c r="G134" s="5"/>
      <c r="H134" s="5"/>
      <c r="I134" s="5"/>
      <c r="J134" s="5"/>
      <c r="K134" s="5"/>
      <c r="L134" s="5"/>
      <c r="M134" s="5"/>
      <c r="N134" s="5"/>
      <c r="O134" s="5"/>
      <c r="P134" s="5"/>
      <c r="Q134" s="5"/>
      <c r="R134" s="5"/>
      <c r="S134" s="5"/>
    </row>
    <row r="135" ht="15.75" customHeight="1">
      <c r="A135" s="5"/>
      <c r="B135" s="5"/>
      <c r="C135" s="7"/>
      <c r="D135" s="5"/>
      <c r="E135" s="8"/>
      <c r="F135" s="5"/>
      <c r="G135" s="5"/>
      <c r="H135" s="5"/>
      <c r="I135" s="5"/>
      <c r="J135" s="5"/>
      <c r="K135" s="5"/>
      <c r="L135" s="5"/>
      <c r="M135" s="5"/>
      <c r="N135" s="5"/>
      <c r="O135" s="5"/>
      <c r="P135" s="5"/>
      <c r="Q135" s="5"/>
      <c r="R135" s="5"/>
      <c r="S135" s="5"/>
    </row>
    <row r="136" ht="15.75" customHeight="1">
      <c r="A136" s="5"/>
      <c r="B136" s="5"/>
      <c r="C136" s="7"/>
      <c r="D136" s="5"/>
      <c r="E136" s="8"/>
      <c r="F136" s="5"/>
      <c r="G136" s="5"/>
      <c r="H136" s="5"/>
      <c r="I136" s="5"/>
      <c r="J136" s="5"/>
      <c r="K136" s="5"/>
      <c r="L136" s="5"/>
      <c r="M136" s="5"/>
      <c r="N136" s="5"/>
      <c r="O136" s="5"/>
      <c r="P136" s="5"/>
      <c r="Q136" s="5"/>
      <c r="R136" s="5"/>
      <c r="S136" s="5"/>
    </row>
    <row r="137" ht="15.75" customHeight="1">
      <c r="A137" s="5"/>
      <c r="B137" s="5"/>
      <c r="C137" s="7"/>
      <c r="D137" s="5"/>
      <c r="E137" s="8"/>
      <c r="F137" s="5"/>
      <c r="G137" s="5"/>
      <c r="H137" s="5"/>
      <c r="I137" s="5"/>
      <c r="J137" s="5"/>
      <c r="K137" s="5"/>
      <c r="L137" s="5"/>
      <c r="M137" s="5"/>
      <c r="N137" s="5"/>
      <c r="O137" s="5"/>
      <c r="P137" s="5"/>
      <c r="Q137" s="5"/>
      <c r="R137" s="5"/>
      <c r="S137" s="5"/>
    </row>
    <row r="138" ht="15.75" customHeight="1">
      <c r="A138" s="5"/>
      <c r="B138" s="5"/>
      <c r="C138" s="7"/>
      <c r="D138" s="5"/>
      <c r="E138" s="8"/>
      <c r="F138" s="5"/>
      <c r="G138" s="5"/>
      <c r="H138" s="5"/>
      <c r="I138" s="5"/>
      <c r="J138" s="5"/>
      <c r="K138" s="5"/>
      <c r="L138" s="5"/>
      <c r="M138" s="5"/>
      <c r="N138" s="5"/>
      <c r="O138" s="5"/>
      <c r="P138" s="5"/>
      <c r="Q138" s="5"/>
      <c r="R138" s="5"/>
      <c r="S138" s="5"/>
    </row>
    <row r="139" ht="15.75" customHeight="1">
      <c r="A139" s="5"/>
      <c r="B139" s="5"/>
      <c r="C139" s="7"/>
      <c r="D139" s="5"/>
      <c r="E139" s="8"/>
      <c r="F139" s="5"/>
      <c r="G139" s="5"/>
      <c r="H139" s="5"/>
      <c r="I139" s="5"/>
      <c r="J139" s="5"/>
      <c r="K139" s="5"/>
      <c r="L139" s="5"/>
      <c r="M139" s="5"/>
      <c r="N139" s="5"/>
      <c r="O139" s="5"/>
      <c r="P139" s="5"/>
      <c r="Q139" s="5"/>
      <c r="R139" s="5"/>
      <c r="S139" s="5"/>
    </row>
    <row r="140" ht="15.75" customHeight="1">
      <c r="A140" s="5"/>
      <c r="B140" s="5"/>
      <c r="C140" s="7"/>
      <c r="D140" s="5"/>
      <c r="E140" s="8"/>
      <c r="F140" s="5"/>
      <c r="G140" s="5"/>
      <c r="H140" s="5"/>
      <c r="I140" s="5"/>
      <c r="J140" s="5"/>
      <c r="K140" s="5"/>
      <c r="L140" s="5"/>
      <c r="M140" s="5"/>
      <c r="N140" s="5"/>
      <c r="O140" s="5"/>
      <c r="P140" s="5"/>
      <c r="Q140" s="5"/>
      <c r="R140" s="5"/>
      <c r="S140" s="5"/>
    </row>
    <row r="141" ht="15.75" customHeight="1">
      <c r="A141" s="5"/>
      <c r="B141" s="5"/>
      <c r="C141" s="7"/>
      <c r="D141" s="5"/>
      <c r="E141" s="8"/>
      <c r="F141" s="5"/>
      <c r="G141" s="5"/>
      <c r="H141" s="5"/>
      <c r="I141" s="5"/>
      <c r="J141" s="5"/>
      <c r="K141" s="5"/>
      <c r="L141" s="5"/>
      <c r="M141" s="5"/>
      <c r="N141" s="5"/>
      <c r="O141" s="5"/>
      <c r="P141" s="5"/>
      <c r="Q141" s="5"/>
      <c r="R141" s="5"/>
      <c r="S141" s="5"/>
    </row>
    <row r="142" ht="15.75" customHeight="1">
      <c r="A142" s="5"/>
      <c r="B142" s="5"/>
      <c r="C142" s="7"/>
      <c r="D142" s="5"/>
      <c r="E142" s="8"/>
      <c r="F142" s="5"/>
      <c r="G142" s="5"/>
      <c r="H142" s="5"/>
      <c r="I142" s="5"/>
      <c r="J142" s="5"/>
      <c r="K142" s="5"/>
      <c r="L142" s="5"/>
      <c r="M142" s="5"/>
      <c r="N142" s="5"/>
      <c r="O142" s="5"/>
      <c r="P142" s="5"/>
      <c r="Q142" s="5"/>
      <c r="R142" s="5"/>
      <c r="S142" s="5"/>
    </row>
    <row r="143" ht="15.75" customHeight="1">
      <c r="A143" s="5"/>
      <c r="B143" s="5"/>
      <c r="C143" s="7"/>
      <c r="D143" s="5"/>
      <c r="E143" s="8"/>
      <c r="F143" s="5"/>
      <c r="G143" s="5"/>
      <c r="H143" s="5"/>
      <c r="I143" s="5"/>
      <c r="J143" s="5"/>
      <c r="K143" s="5"/>
      <c r="L143" s="5"/>
      <c r="M143" s="5"/>
      <c r="N143" s="5"/>
      <c r="O143" s="5"/>
      <c r="P143" s="5"/>
      <c r="Q143" s="5"/>
      <c r="R143" s="5"/>
      <c r="S143" s="5"/>
    </row>
    <row r="144" ht="15.75" customHeight="1">
      <c r="A144" s="5"/>
      <c r="B144" s="5"/>
      <c r="C144" s="7"/>
      <c r="D144" s="5"/>
      <c r="E144" s="8"/>
      <c r="F144" s="5"/>
      <c r="G144" s="5"/>
      <c r="H144" s="5"/>
      <c r="I144" s="5"/>
      <c r="J144" s="5"/>
      <c r="K144" s="5"/>
      <c r="L144" s="5"/>
      <c r="M144" s="5"/>
      <c r="N144" s="5"/>
      <c r="O144" s="5"/>
      <c r="P144" s="5"/>
      <c r="Q144" s="5"/>
      <c r="R144" s="5"/>
      <c r="S144" s="5"/>
    </row>
    <row r="145" ht="15.75" customHeight="1">
      <c r="A145" s="5"/>
      <c r="B145" s="5"/>
      <c r="C145" s="7"/>
      <c r="D145" s="5"/>
      <c r="E145" s="8"/>
      <c r="F145" s="5"/>
      <c r="G145" s="5"/>
      <c r="H145" s="5"/>
      <c r="I145" s="5"/>
      <c r="J145" s="5"/>
      <c r="K145" s="5"/>
      <c r="L145" s="5"/>
      <c r="M145" s="5"/>
      <c r="N145" s="5"/>
      <c r="O145" s="5"/>
      <c r="P145" s="5"/>
      <c r="Q145" s="5"/>
      <c r="R145" s="5"/>
      <c r="S145" s="5"/>
    </row>
    <row r="146" ht="15.75" customHeight="1">
      <c r="A146" s="5"/>
      <c r="B146" s="5"/>
      <c r="C146" s="7"/>
      <c r="D146" s="5"/>
      <c r="E146" s="8"/>
      <c r="F146" s="5"/>
      <c r="G146" s="5"/>
      <c r="H146" s="5"/>
      <c r="I146" s="5"/>
      <c r="J146" s="5"/>
      <c r="K146" s="5"/>
      <c r="L146" s="5"/>
      <c r="M146" s="5"/>
      <c r="N146" s="5"/>
      <c r="O146" s="5"/>
      <c r="P146" s="5"/>
      <c r="Q146" s="5"/>
      <c r="R146" s="5"/>
      <c r="S146" s="5"/>
    </row>
    <row r="147" ht="15.75" customHeight="1">
      <c r="A147" s="5"/>
      <c r="B147" s="5"/>
      <c r="C147" s="7"/>
      <c r="D147" s="5"/>
      <c r="E147" s="8"/>
      <c r="F147" s="5"/>
      <c r="G147" s="5"/>
      <c r="H147" s="5"/>
      <c r="I147" s="5"/>
      <c r="J147" s="5"/>
      <c r="K147" s="5"/>
      <c r="L147" s="5"/>
      <c r="M147" s="5"/>
      <c r="N147" s="5"/>
      <c r="O147" s="5"/>
      <c r="P147" s="5"/>
      <c r="Q147" s="5"/>
      <c r="R147" s="5"/>
      <c r="S147" s="5"/>
    </row>
    <row r="148" ht="15.75" customHeight="1">
      <c r="A148" s="5"/>
      <c r="B148" s="5"/>
      <c r="C148" s="7"/>
      <c r="D148" s="5"/>
      <c r="E148" s="8"/>
      <c r="F148" s="5"/>
      <c r="G148" s="5"/>
      <c r="H148" s="5"/>
      <c r="I148" s="5"/>
      <c r="J148" s="5"/>
      <c r="K148" s="5"/>
      <c r="L148" s="5"/>
      <c r="M148" s="5"/>
      <c r="N148" s="5"/>
      <c r="O148" s="5"/>
      <c r="P148" s="5"/>
      <c r="Q148" s="5"/>
      <c r="R148" s="5"/>
      <c r="S148" s="5"/>
    </row>
    <row r="149" ht="15.75" customHeight="1">
      <c r="A149" s="5"/>
      <c r="B149" s="5"/>
      <c r="C149" s="7"/>
      <c r="D149" s="5"/>
      <c r="E149" s="8"/>
      <c r="F149" s="5"/>
      <c r="G149" s="5"/>
      <c r="H149" s="5"/>
      <c r="I149" s="5"/>
      <c r="J149" s="5"/>
      <c r="K149" s="5"/>
      <c r="L149" s="5"/>
      <c r="M149" s="5"/>
      <c r="N149" s="5"/>
      <c r="O149" s="5"/>
      <c r="P149" s="5"/>
      <c r="Q149" s="5"/>
      <c r="R149" s="5"/>
      <c r="S149" s="5"/>
    </row>
    <row r="150" ht="15.75" customHeight="1">
      <c r="A150" s="5"/>
      <c r="B150" s="5"/>
      <c r="C150" s="7"/>
      <c r="D150" s="5"/>
      <c r="E150" s="8"/>
      <c r="F150" s="5"/>
      <c r="G150" s="5"/>
      <c r="H150" s="5"/>
      <c r="I150" s="5"/>
      <c r="J150" s="5"/>
      <c r="K150" s="5"/>
      <c r="L150" s="5"/>
      <c r="M150" s="5"/>
      <c r="N150" s="5"/>
      <c r="O150" s="5"/>
      <c r="P150" s="5"/>
      <c r="Q150" s="5"/>
      <c r="R150" s="5"/>
      <c r="S150" s="5"/>
    </row>
    <row r="151" ht="15.75" customHeight="1">
      <c r="A151" s="5"/>
      <c r="B151" s="5"/>
      <c r="C151" s="7"/>
      <c r="D151" s="5"/>
      <c r="E151" s="8"/>
      <c r="F151" s="5"/>
      <c r="G151" s="5"/>
      <c r="H151" s="5"/>
      <c r="I151" s="5"/>
      <c r="J151" s="5"/>
      <c r="K151" s="5"/>
      <c r="L151" s="5"/>
      <c r="M151" s="5"/>
      <c r="N151" s="5"/>
      <c r="O151" s="5"/>
      <c r="P151" s="5"/>
      <c r="Q151" s="5"/>
      <c r="R151" s="5"/>
      <c r="S151" s="5"/>
    </row>
    <row r="152" ht="15.75" customHeight="1">
      <c r="A152" s="5"/>
      <c r="B152" s="5"/>
      <c r="C152" s="7"/>
      <c r="D152" s="5"/>
      <c r="E152" s="8"/>
      <c r="F152" s="5"/>
      <c r="G152" s="5"/>
      <c r="H152" s="5"/>
      <c r="I152" s="5"/>
      <c r="J152" s="5"/>
      <c r="K152" s="5"/>
      <c r="L152" s="5"/>
      <c r="M152" s="5"/>
      <c r="N152" s="5"/>
      <c r="O152" s="5"/>
      <c r="P152" s="5"/>
      <c r="Q152" s="5"/>
      <c r="R152" s="5"/>
      <c r="S152" s="5"/>
    </row>
    <row r="153" ht="15.75" customHeight="1">
      <c r="A153" s="5"/>
      <c r="B153" s="5"/>
      <c r="C153" s="7"/>
      <c r="D153" s="5"/>
      <c r="E153" s="8"/>
      <c r="F153" s="5"/>
      <c r="G153" s="5"/>
      <c r="H153" s="5"/>
      <c r="I153" s="5"/>
      <c r="J153" s="5"/>
      <c r="K153" s="5"/>
      <c r="L153" s="5"/>
      <c r="M153" s="5"/>
      <c r="N153" s="5"/>
      <c r="O153" s="5"/>
      <c r="P153" s="5"/>
      <c r="Q153" s="5"/>
      <c r="R153" s="5"/>
      <c r="S153" s="5"/>
    </row>
    <row r="154" ht="15.75" customHeight="1">
      <c r="A154" s="5"/>
      <c r="B154" s="5"/>
      <c r="C154" s="7"/>
      <c r="D154" s="5"/>
      <c r="E154" s="8"/>
      <c r="F154" s="5"/>
      <c r="G154" s="5"/>
      <c r="H154" s="5"/>
      <c r="I154" s="5"/>
      <c r="J154" s="5"/>
      <c r="K154" s="5"/>
      <c r="L154" s="5"/>
      <c r="M154" s="5"/>
      <c r="N154" s="5"/>
      <c r="O154" s="5"/>
      <c r="P154" s="5"/>
      <c r="Q154" s="5"/>
      <c r="R154" s="5"/>
      <c r="S154" s="5"/>
    </row>
    <row r="155" ht="15.75" customHeight="1">
      <c r="A155" s="5"/>
      <c r="B155" s="5"/>
      <c r="C155" s="7"/>
      <c r="D155" s="5"/>
      <c r="E155" s="8"/>
      <c r="F155" s="5"/>
      <c r="G155" s="5"/>
      <c r="H155" s="5"/>
      <c r="I155" s="5"/>
      <c r="J155" s="5"/>
      <c r="K155" s="5"/>
      <c r="L155" s="5"/>
      <c r="M155" s="5"/>
      <c r="N155" s="5"/>
      <c r="O155" s="5"/>
      <c r="P155" s="5"/>
      <c r="Q155" s="5"/>
      <c r="R155" s="5"/>
      <c r="S155" s="5"/>
    </row>
    <row r="156" ht="15.75" customHeight="1">
      <c r="A156" s="5"/>
      <c r="B156" s="5"/>
      <c r="C156" s="7"/>
      <c r="D156" s="5"/>
      <c r="E156" s="8"/>
      <c r="F156" s="5"/>
      <c r="G156" s="5"/>
      <c r="H156" s="5"/>
      <c r="I156" s="5"/>
      <c r="J156" s="5"/>
      <c r="K156" s="5"/>
      <c r="L156" s="5"/>
      <c r="M156" s="5"/>
      <c r="N156" s="5"/>
      <c r="O156" s="5"/>
      <c r="P156" s="5"/>
      <c r="Q156" s="5"/>
      <c r="R156" s="5"/>
      <c r="S156" s="5"/>
    </row>
    <row r="157" ht="15.75" customHeight="1">
      <c r="A157" s="5"/>
      <c r="B157" s="5"/>
      <c r="C157" s="7"/>
      <c r="D157" s="5"/>
      <c r="E157" s="8"/>
      <c r="F157" s="5"/>
      <c r="G157" s="5"/>
      <c r="H157" s="5"/>
      <c r="I157" s="5"/>
      <c r="J157" s="5"/>
      <c r="K157" s="5"/>
      <c r="L157" s="5"/>
      <c r="M157" s="5"/>
      <c r="N157" s="5"/>
      <c r="O157" s="5"/>
      <c r="P157" s="5"/>
      <c r="Q157" s="5"/>
      <c r="R157" s="5"/>
      <c r="S157" s="5"/>
    </row>
    <row r="158" ht="15.75" customHeight="1">
      <c r="A158" s="5"/>
      <c r="B158" s="5"/>
      <c r="C158" s="7"/>
      <c r="D158" s="5"/>
      <c r="E158" s="8"/>
      <c r="F158" s="5"/>
      <c r="G158" s="5"/>
      <c r="H158" s="5"/>
      <c r="I158" s="5"/>
      <c r="J158" s="5"/>
      <c r="K158" s="5"/>
      <c r="L158" s="5"/>
      <c r="M158" s="5"/>
      <c r="N158" s="5"/>
      <c r="O158" s="5"/>
      <c r="P158" s="5"/>
      <c r="Q158" s="5"/>
      <c r="R158" s="5"/>
      <c r="S158" s="5"/>
    </row>
    <row r="159" ht="15.75" customHeight="1">
      <c r="A159" s="5"/>
      <c r="B159" s="5"/>
      <c r="C159" s="7"/>
      <c r="D159" s="5"/>
      <c r="E159" s="8"/>
      <c r="F159" s="5"/>
      <c r="G159" s="5"/>
      <c r="H159" s="5"/>
      <c r="I159" s="5"/>
      <c r="J159" s="5"/>
      <c r="K159" s="5"/>
      <c r="L159" s="5"/>
      <c r="M159" s="5"/>
      <c r="N159" s="5"/>
      <c r="O159" s="5"/>
      <c r="P159" s="5"/>
      <c r="Q159" s="5"/>
      <c r="R159" s="5"/>
      <c r="S159" s="5"/>
    </row>
    <row r="160" ht="15.75" customHeight="1">
      <c r="A160" s="5"/>
      <c r="B160" s="5"/>
      <c r="C160" s="7"/>
      <c r="D160" s="5"/>
      <c r="E160" s="8"/>
      <c r="F160" s="5"/>
      <c r="G160" s="5"/>
      <c r="H160" s="5"/>
      <c r="I160" s="5"/>
      <c r="J160" s="5"/>
      <c r="K160" s="5"/>
      <c r="L160" s="5"/>
      <c r="M160" s="5"/>
      <c r="N160" s="5"/>
      <c r="O160" s="5"/>
      <c r="P160" s="5"/>
      <c r="Q160" s="5"/>
      <c r="R160" s="5"/>
      <c r="S160" s="5"/>
    </row>
    <row r="161" ht="15.75" customHeight="1">
      <c r="A161" s="5"/>
      <c r="B161" s="5"/>
      <c r="C161" s="7"/>
      <c r="D161" s="5"/>
      <c r="E161" s="8"/>
      <c r="F161" s="5"/>
      <c r="G161" s="5"/>
      <c r="H161" s="5"/>
      <c r="I161" s="5"/>
      <c r="J161" s="5"/>
      <c r="K161" s="5"/>
      <c r="L161" s="5"/>
      <c r="M161" s="5"/>
      <c r="N161" s="5"/>
      <c r="O161" s="5"/>
      <c r="P161" s="5"/>
      <c r="Q161" s="5"/>
      <c r="R161" s="5"/>
      <c r="S161" s="5"/>
    </row>
    <row r="162" ht="15.75" customHeight="1">
      <c r="A162" s="5"/>
      <c r="B162" s="5"/>
      <c r="C162" s="7"/>
      <c r="D162" s="5"/>
      <c r="E162" s="8"/>
      <c r="F162" s="5"/>
      <c r="G162" s="5"/>
      <c r="H162" s="5"/>
      <c r="I162" s="5"/>
      <c r="J162" s="5"/>
      <c r="K162" s="5"/>
      <c r="L162" s="5"/>
      <c r="M162" s="5"/>
      <c r="N162" s="5"/>
      <c r="O162" s="5"/>
      <c r="P162" s="5"/>
      <c r="Q162" s="5"/>
      <c r="R162" s="5"/>
      <c r="S162" s="5"/>
    </row>
    <row r="163" ht="15.75" customHeight="1">
      <c r="A163" s="5"/>
      <c r="B163" s="5"/>
      <c r="C163" s="7"/>
      <c r="D163" s="5"/>
      <c r="E163" s="8"/>
      <c r="F163" s="5"/>
      <c r="G163" s="5"/>
      <c r="H163" s="5"/>
      <c r="I163" s="5"/>
      <c r="J163" s="5"/>
      <c r="K163" s="5"/>
      <c r="L163" s="5"/>
      <c r="M163" s="5"/>
      <c r="N163" s="5"/>
      <c r="O163" s="5"/>
      <c r="P163" s="5"/>
      <c r="Q163" s="5"/>
      <c r="R163" s="5"/>
      <c r="S163" s="5"/>
    </row>
    <row r="164" ht="15.75" customHeight="1">
      <c r="A164" s="5"/>
      <c r="B164" s="5"/>
      <c r="C164" s="7"/>
      <c r="D164" s="5"/>
      <c r="E164" s="8"/>
      <c r="F164" s="5"/>
      <c r="G164" s="5"/>
      <c r="H164" s="5"/>
      <c r="I164" s="5"/>
      <c r="J164" s="5"/>
      <c r="K164" s="5"/>
      <c r="L164" s="5"/>
      <c r="M164" s="5"/>
      <c r="N164" s="5"/>
      <c r="O164" s="5"/>
      <c r="P164" s="5"/>
      <c r="Q164" s="5"/>
      <c r="R164" s="5"/>
      <c r="S164" s="5"/>
    </row>
    <row r="165" ht="15.75" customHeight="1">
      <c r="A165" s="5"/>
      <c r="B165" s="5"/>
      <c r="C165" s="7"/>
      <c r="D165" s="5"/>
      <c r="E165" s="8"/>
      <c r="F165" s="5"/>
      <c r="G165" s="5"/>
      <c r="H165" s="5"/>
      <c r="I165" s="5"/>
      <c r="J165" s="5"/>
      <c r="K165" s="5"/>
      <c r="L165" s="5"/>
      <c r="M165" s="5"/>
      <c r="N165" s="5"/>
      <c r="O165" s="5"/>
      <c r="P165" s="5"/>
      <c r="Q165" s="5"/>
      <c r="R165" s="5"/>
      <c r="S165" s="5"/>
    </row>
    <row r="166" ht="15.75" customHeight="1">
      <c r="A166" s="5"/>
      <c r="B166" s="5"/>
      <c r="C166" s="7"/>
      <c r="D166" s="5"/>
      <c r="E166" s="8"/>
      <c r="F166" s="5"/>
      <c r="G166" s="5"/>
      <c r="H166" s="5"/>
      <c r="I166" s="5"/>
      <c r="J166" s="5"/>
      <c r="K166" s="5"/>
      <c r="L166" s="5"/>
      <c r="M166" s="5"/>
      <c r="N166" s="5"/>
      <c r="O166" s="5"/>
      <c r="P166" s="5"/>
      <c r="Q166" s="5"/>
      <c r="R166" s="5"/>
      <c r="S166" s="5"/>
    </row>
    <row r="167" ht="15.75" customHeight="1">
      <c r="A167" s="5"/>
      <c r="B167" s="5"/>
      <c r="C167" s="7"/>
      <c r="D167" s="5"/>
      <c r="E167" s="8"/>
      <c r="F167" s="5"/>
      <c r="G167" s="5"/>
      <c r="H167" s="5"/>
      <c r="I167" s="5"/>
      <c r="J167" s="5"/>
      <c r="K167" s="5"/>
      <c r="L167" s="5"/>
      <c r="M167" s="5"/>
      <c r="N167" s="5"/>
      <c r="O167" s="5"/>
      <c r="P167" s="5"/>
      <c r="Q167" s="5"/>
      <c r="R167" s="5"/>
      <c r="S167" s="5"/>
    </row>
    <row r="168" ht="15.75" customHeight="1">
      <c r="A168" s="5"/>
      <c r="B168" s="5"/>
      <c r="C168" s="7"/>
      <c r="D168" s="5"/>
      <c r="E168" s="8"/>
      <c r="F168" s="5"/>
      <c r="G168" s="5"/>
      <c r="H168" s="5"/>
      <c r="I168" s="5"/>
      <c r="J168" s="5"/>
      <c r="K168" s="5"/>
      <c r="L168" s="5"/>
      <c r="M168" s="5"/>
      <c r="N168" s="5"/>
      <c r="O168" s="5"/>
      <c r="P168" s="5"/>
      <c r="Q168" s="5"/>
      <c r="R168" s="5"/>
      <c r="S168" s="5"/>
    </row>
    <row r="169" ht="15.75" customHeight="1">
      <c r="A169" s="5"/>
      <c r="B169" s="5"/>
      <c r="C169" s="7"/>
      <c r="D169" s="5"/>
      <c r="E169" s="8"/>
      <c r="F169" s="5"/>
      <c r="G169" s="5"/>
      <c r="H169" s="5"/>
      <c r="I169" s="5"/>
      <c r="J169" s="5"/>
      <c r="K169" s="5"/>
      <c r="L169" s="5"/>
      <c r="M169" s="5"/>
      <c r="N169" s="5"/>
      <c r="O169" s="5"/>
      <c r="P169" s="5"/>
      <c r="Q169" s="5"/>
      <c r="R169" s="5"/>
      <c r="S169" s="5"/>
    </row>
    <row r="170" ht="15.75" customHeight="1">
      <c r="A170" s="5"/>
      <c r="B170" s="5"/>
      <c r="C170" s="7"/>
      <c r="D170" s="5"/>
      <c r="E170" s="8"/>
      <c r="F170" s="5"/>
      <c r="G170" s="5"/>
      <c r="H170" s="5"/>
      <c r="I170" s="5"/>
      <c r="J170" s="5"/>
      <c r="K170" s="5"/>
      <c r="L170" s="5"/>
      <c r="M170" s="5"/>
      <c r="N170" s="5"/>
      <c r="O170" s="5"/>
      <c r="P170" s="5"/>
      <c r="Q170" s="5"/>
      <c r="R170" s="5"/>
      <c r="S170" s="5"/>
    </row>
    <row r="171" ht="15.75" customHeight="1">
      <c r="A171" s="5"/>
      <c r="B171" s="5"/>
      <c r="C171" s="7"/>
      <c r="D171" s="5"/>
      <c r="E171" s="8"/>
      <c r="F171" s="5"/>
      <c r="G171" s="5"/>
      <c r="H171" s="5"/>
      <c r="I171" s="5"/>
      <c r="J171" s="5"/>
      <c r="K171" s="5"/>
      <c r="L171" s="5"/>
      <c r="M171" s="5"/>
      <c r="N171" s="5"/>
      <c r="O171" s="5"/>
      <c r="P171" s="5"/>
      <c r="Q171" s="5"/>
      <c r="R171" s="5"/>
      <c r="S171" s="5"/>
    </row>
    <row r="172" ht="15.75" customHeight="1">
      <c r="A172" s="5"/>
      <c r="B172" s="5"/>
      <c r="C172" s="7"/>
      <c r="D172" s="5"/>
      <c r="E172" s="8"/>
      <c r="F172" s="5"/>
      <c r="G172" s="5"/>
      <c r="H172" s="5"/>
      <c r="I172" s="5"/>
      <c r="J172" s="5"/>
      <c r="K172" s="5"/>
      <c r="L172" s="5"/>
      <c r="M172" s="5"/>
      <c r="N172" s="5"/>
      <c r="O172" s="5"/>
      <c r="P172" s="5"/>
      <c r="Q172" s="5"/>
      <c r="R172" s="5"/>
      <c r="S172" s="5"/>
    </row>
    <row r="173" ht="15.75" customHeight="1">
      <c r="A173" s="5"/>
      <c r="B173" s="5"/>
      <c r="C173" s="7"/>
      <c r="D173" s="5"/>
      <c r="E173" s="8"/>
      <c r="F173" s="5"/>
      <c r="G173" s="5"/>
      <c r="H173" s="5"/>
      <c r="I173" s="5"/>
      <c r="J173" s="5"/>
      <c r="K173" s="5"/>
      <c r="L173" s="5"/>
      <c r="M173" s="5"/>
      <c r="N173" s="5"/>
      <c r="O173" s="5"/>
      <c r="P173" s="5"/>
      <c r="Q173" s="5"/>
      <c r="R173" s="5"/>
      <c r="S173" s="5"/>
    </row>
    <row r="174" ht="15.75" customHeight="1">
      <c r="A174" s="5"/>
      <c r="B174" s="5"/>
      <c r="C174" s="7"/>
      <c r="D174" s="5"/>
      <c r="E174" s="8"/>
      <c r="F174" s="5"/>
      <c r="G174" s="5"/>
      <c r="H174" s="5"/>
      <c r="I174" s="5"/>
      <c r="J174" s="5"/>
      <c r="K174" s="5"/>
      <c r="L174" s="5"/>
      <c r="M174" s="5"/>
      <c r="N174" s="5"/>
      <c r="O174" s="5"/>
      <c r="P174" s="5"/>
      <c r="Q174" s="5"/>
      <c r="R174" s="5"/>
      <c r="S174" s="5"/>
    </row>
    <row r="175" ht="15.75" customHeight="1">
      <c r="A175" s="5"/>
      <c r="B175" s="5"/>
      <c r="C175" s="7"/>
      <c r="D175" s="5"/>
      <c r="E175" s="8"/>
      <c r="F175" s="5"/>
      <c r="G175" s="5"/>
      <c r="H175" s="5"/>
      <c r="I175" s="5"/>
      <c r="J175" s="5"/>
      <c r="K175" s="5"/>
      <c r="L175" s="5"/>
      <c r="M175" s="5"/>
      <c r="N175" s="5"/>
      <c r="O175" s="5"/>
      <c r="P175" s="5"/>
      <c r="Q175" s="5"/>
      <c r="R175" s="5"/>
      <c r="S175" s="5"/>
    </row>
    <row r="176" ht="15.75" customHeight="1">
      <c r="A176" s="5"/>
      <c r="B176" s="5"/>
      <c r="C176" s="7"/>
      <c r="D176" s="5"/>
      <c r="E176" s="8"/>
      <c r="F176" s="5"/>
      <c r="G176" s="5"/>
      <c r="H176" s="5"/>
      <c r="I176" s="5"/>
      <c r="J176" s="5"/>
      <c r="K176" s="5"/>
      <c r="L176" s="5"/>
      <c r="M176" s="5"/>
      <c r="N176" s="5"/>
      <c r="O176" s="5"/>
      <c r="P176" s="5"/>
      <c r="Q176" s="5"/>
      <c r="R176" s="5"/>
      <c r="S176" s="5"/>
    </row>
    <row r="177" ht="15.75" customHeight="1">
      <c r="A177" s="5"/>
      <c r="B177" s="5"/>
      <c r="C177" s="7"/>
      <c r="D177" s="5"/>
      <c r="E177" s="8"/>
      <c r="F177" s="5"/>
      <c r="G177" s="5"/>
      <c r="H177" s="5"/>
      <c r="I177" s="5"/>
      <c r="J177" s="5"/>
      <c r="K177" s="5"/>
      <c r="L177" s="5"/>
      <c r="M177" s="5"/>
      <c r="N177" s="5"/>
      <c r="O177" s="5"/>
      <c r="P177" s="5"/>
      <c r="Q177" s="5"/>
      <c r="R177" s="5"/>
      <c r="S177" s="5"/>
    </row>
    <row r="178" ht="15.75" customHeight="1">
      <c r="A178" s="5"/>
      <c r="B178" s="5"/>
      <c r="C178" s="7"/>
      <c r="D178" s="5"/>
      <c r="E178" s="8"/>
      <c r="F178" s="5"/>
      <c r="G178" s="5"/>
      <c r="H178" s="5"/>
      <c r="I178" s="5"/>
      <c r="J178" s="5"/>
      <c r="K178" s="5"/>
      <c r="L178" s="5"/>
      <c r="M178" s="5"/>
      <c r="N178" s="5"/>
      <c r="O178" s="5"/>
      <c r="P178" s="5"/>
      <c r="Q178" s="5"/>
      <c r="R178" s="5"/>
      <c r="S178" s="5"/>
    </row>
    <row r="179" ht="15.75" customHeight="1">
      <c r="A179" s="5"/>
      <c r="B179" s="5"/>
      <c r="C179" s="7"/>
      <c r="D179" s="5"/>
      <c r="E179" s="8"/>
      <c r="F179" s="5"/>
      <c r="G179" s="5"/>
      <c r="H179" s="5"/>
      <c r="I179" s="5"/>
      <c r="J179" s="5"/>
      <c r="K179" s="5"/>
      <c r="L179" s="5"/>
      <c r="M179" s="5"/>
      <c r="N179" s="5"/>
      <c r="O179" s="5"/>
      <c r="P179" s="5"/>
      <c r="Q179" s="5"/>
      <c r="R179" s="5"/>
      <c r="S179" s="5"/>
    </row>
    <row r="180" ht="15.75" customHeight="1">
      <c r="A180" s="5"/>
      <c r="B180" s="5"/>
      <c r="C180" s="7"/>
      <c r="D180" s="5"/>
      <c r="E180" s="8"/>
      <c r="F180" s="5"/>
      <c r="G180" s="5"/>
      <c r="H180" s="5"/>
      <c r="I180" s="5"/>
      <c r="J180" s="5"/>
      <c r="K180" s="5"/>
      <c r="L180" s="5"/>
      <c r="M180" s="5"/>
      <c r="N180" s="5"/>
      <c r="O180" s="5"/>
      <c r="P180" s="5"/>
      <c r="Q180" s="5"/>
      <c r="R180" s="5"/>
      <c r="S180" s="5"/>
    </row>
    <row r="181" ht="15.75" customHeight="1">
      <c r="A181" s="5"/>
      <c r="B181" s="5"/>
      <c r="C181" s="7"/>
      <c r="D181" s="5"/>
      <c r="E181" s="8"/>
      <c r="F181" s="5"/>
      <c r="G181" s="5"/>
      <c r="H181" s="5"/>
      <c r="I181" s="5"/>
      <c r="J181" s="5"/>
      <c r="K181" s="5"/>
      <c r="L181" s="5"/>
      <c r="M181" s="5"/>
      <c r="N181" s="5"/>
      <c r="O181" s="5"/>
      <c r="P181" s="5"/>
      <c r="Q181" s="5"/>
      <c r="R181" s="5"/>
      <c r="S181" s="5"/>
    </row>
    <row r="182" ht="15.75" customHeight="1">
      <c r="A182" s="5"/>
      <c r="B182" s="5"/>
      <c r="C182" s="7"/>
      <c r="D182" s="5"/>
      <c r="E182" s="8"/>
      <c r="F182" s="5"/>
      <c r="G182" s="5"/>
      <c r="H182" s="5"/>
      <c r="I182" s="5"/>
      <c r="J182" s="5"/>
      <c r="K182" s="5"/>
      <c r="L182" s="5"/>
      <c r="M182" s="5"/>
      <c r="N182" s="5"/>
      <c r="O182" s="5"/>
      <c r="P182" s="5"/>
      <c r="Q182" s="5"/>
      <c r="R182" s="5"/>
      <c r="S182" s="5"/>
    </row>
    <row r="183" ht="15.75" customHeight="1">
      <c r="A183" s="5"/>
      <c r="B183" s="5"/>
      <c r="C183" s="7"/>
      <c r="D183" s="5"/>
      <c r="E183" s="8"/>
      <c r="F183" s="5"/>
      <c r="G183" s="5"/>
      <c r="H183" s="5"/>
      <c r="I183" s="5"/>
      <c r="J183" s="5"/>
      <c r="K183" s="5"/>
      <c r="L183" s="5"/>
      <c r="M183" s="5"/>
      <c r="N183" s="5"/>
      <c r="O183" s="5"/>
      <c r="P183" s="5"/>
      <c r="Q183" s="5"/>
      <c r="R183" s="5"/>
      <c r="S183" s="5"/>
    </row>
    <row r="184" ht="15.75" customHeight="1">
      <c r="A184" s="5"/>
      <c r="B184" s="5"/>
      <c r="C184" s="7"/>
      <c r="D184" s="5"/>
      <c r="E184" s="8"/>
      <c r="F184" s="5"/>
      <c r="G184" s="5"/>
      <c r="H184" s="5"/>
      <c r="I184" s="5"/>
      <c r="J184" s="5"/>
      <c r="K184" s="5"/>
      <c r="L184" s="5"/>
      <c r="M184" s="5"/>
      <c r="N184" s="5"/>
      <c r="O184" s="5"/>
      <c r="P184" s="5"/>
      <c r="Q184" s="5"/>
      <c r="R184" s="5"/>
      <c r="S184" s="5"/>
    </row>
    <row r="185" ht="15.75" customHeight="1">
      <c r="A185" s="5"/>
      <c r="B185" s="5"/>
      <c r="C185" s="7"/>
      <c r="D185" s="5"/>
      <c r="E185" s="8"/>
      <c r="F185" s="5"/>
      <c r="G185" s="5"/>
      <c r="H185" s="5"/>
      <c r="I185" s="5"/>
      <c r="J185" s="5"/>
      <c r="K185" s="5"/>
      <c r="L185" s="5"/>
      <c r="M185" s="5"/>
      <c r="N185" s="5"/>
      <c r="O185" s="5"/>
      <c r="P185" s="5"/>
      <c r="Q185" s="5"/>
      <c r="R185" s="5"/>
      <c r="S185" s="5"/>
    </row>
    <row r="186" ht="15.75" customHeight="1">
      <c r="A186" s="5"/>
      <c r="B186" s="5"/>
      <c r="C186" s="7"/>
      <c r="D186" s="5"/>
      <c r="E186" s="8"/>
      <c r="F186" s="5"/>
      <c r="G186" s="5"/>
      <c r="H186" s="5"/>
      <c r="I186" s="5"/>
      <c r="J186" s="5"/>
      <c r="K186" s="5"/>
      <c r="L186" s="5"/>
      <c r="M186" s="5"/>
      <c r="N186" s="5"/>
      <c r="O186" s="5"/>
      <c r="P186" s="5"/>
      <c r="Q186" s="5"/>
      <c r="R186" s="5"/>
      <c r="S186" s="5"/>
    </row>
    <row r="187" ht="15.75" customHeight="1">
      <c r="A187" s="5"/>
      <c r="B187" s="5"/>
      <c r="C187" s="7"/>
      <c r="D187" s="5"/>
      <c r="E187" s="8"/>
      <c r="F187" s="5"/>
      <c r="G187" s="5"/>
      <c r="H187" s="5"/>
      <c r="I187" s="5"/>
      <c r="J187" s="5"/>
      <c r="K187" s="5"/>
      <c r="L187" s="5"/>
      <c r="M187" s="5"/>
      <c r="N187" s="5"/>
      <c r="O187" s="5"/>
      <c r="P187" s="5"/>
      <c r="Q187" s="5"/>
      <c r="R187" s="5"/>
      <c r="S187" s="5"/>
    </row>
    <row r="188" ht="15.75" customHeight="1">
      <c r="A188" s="5"/>
      <c r="B188" s="5"/>
      <c r="C188" s="7"/>
      <c r="D188" s="5"/>
      <c r="E188" s="8"/>
      <c r="F188" s="5"/>
      <c r="G188" s="5"/>
      <c r="H188" s="5"/>
      <c r="I188" s="5"/>
      <c r="J188" s="5"/>
      <c r="K188" s="5"/>
      <c r="L188" s="5"/>
      <c r="M188" s="5"/>
      <c r="N188" s="5"/>
      <c r="O188" s="5"/>
      <c r="P188" s="5"/>
      <c r="Q188" s="5"/>
      <c r="R188" s="5"/>
      <c r="S188" s="5"/>
    </row>
    <row r="189" ht="15.75" customHeight="1">
      <c r="A189" s="5"/>
      <c r="B189" s="5"/>
      <c r="C189" s="7"/>
      <c r="D189" s="5"/>
      <c r="E189" s="8"/>
      <c r="F189" s="5"/>
      <c r="G189" s="5"/>
      <c r="H189" s="5"/>
      <c r="I189" s="5"/>
      <c r="J189" s="5"/>
      <c r="K189" s="5"/>
      <c r="L189" s="5"/>
      <c r="M189" s="5"/>
      <c r="N189" s="5"/>
      <c r="O189" s="5"/>
      <c r="P189" s="5"/>
      <c r="Q189" s="5"/>
      <c r="R189" s="5"/>
      <c r="S189" s="5"/>
    </row>
    <row r="190" ht="15.75" customHeight="1">
      <c r="A190" s="5"/>
      <c r="B190" s="5"/>
      <c r="C190" s="7"/>
      <c r="D190" s="5"/>
      <c r="E190" s="8"/>
      <c r="F190" s="5"/>
      <c r="G190" s="5"/>
      <c r="H190" s="5"/>
      <c r="I190" s="5"/>
      <c r="J190" s="5"/>
      <c r="K190" s="5"/>
      <c r="L190" s="5"/>
      <c r="M190" s="5"/>
      <c r="N190" s="5"/>
      <c r="O190" s="5"/>
      <c r="P190" s="5"/>
      <c r="Q190" s="5"/>
      <c r="R190" s="5"/>
      <c r="S190" s="5"/>
    </row>
    <row r="191" ht="15.75" customHeight="1">
      <c r="A191" s="5"/>
      <c r="B191" s="5"/>
      <c r="C191" s="7"/>
      <c r="D191" s="5"/>
      <c r="E191" s="8"/>
      <c r="F191" s="5"/>
      <c r="G191" s="5"/>
      <c r="H191" s="5"/>
      <c r="I191" s="5"/>
      <c r="J191" s="5"/>
      <c r="K191" s="5"/>
      <c r="L191" s="5"/>
      <c r="M191" s="5"/>
      <c r="N191" s="5"/>
      <c r="O191" s="5"/>
      <c r="P191" s="5"/>
      <c r="Q191" s="5"/>
      <c r="R191" s="5"/>
      <c r="S191" s="5"/>
    </row>
    <row r="192" ht="15.75" customHeight="1">
      <c r="A192" s="5"/>
      <c r="B192" s="5"/>
      <c r="C192" s="7"/>
      <c r="D192" s="5"/>
      <c r="E192" s="8"/>
      <c r="F192" s="5"/>
      <c r="G192" s="5"/>
      <c r="H192" s="5"/>
      <c r="I192" s="5"/>
      <c r="J192" s="5"/>
      <c r="K192" s="5"/>
      <c r="L192" s="5"/>
      <c r="M192" s="5"/>
      <c r="N192" s="5"/>
      <c r="O192" s="5"/>
      <c r="P192" s="5"/>
      <c r="Q192" s="5"/>
      <c r="R192" s="5"/>
      <c r="S192" s="5"/>
    </row>
    <row r="193" ht="15.75" customHeight="1">
      <c r="A193" s="5"/>
      <c r="B193" s="5"/>
      <c r="C193" s="7"/>
      <c r="D193" s="5"/>
      <c r="E193" s="8"/>
      <c r="F193" s="5"/>
      <c r="G193" s="5"/>
      <c r="H193" s="5"/>
      <c r="I193" s="5"/>
      <c r="J193" s="5"/>
      <c r="K193" s="5"/>
      <c r="L193" s="5"/>
      <c r="M193" s="5"/>
      <c r="N193" s="5"/>
      <c r="O193" s="5"/>
      <c r="P193" s="5"/>
      <c r="Q193" s="5"/>
      <c r="R193" s="5"/>
      <c r="S193" s="5"/>
    </row>
    <row r="194" ht="15.75" customHeight="1">
      <c r="A194" s="5"/>
      <c r="B194" s="5"/>
      <c r="C194" s="7"/>
      <c r="D194" s="5"/>
      <c r="E194" s="8"/>
      <c r="F194" s="5"/>
      <c r="G194" s="5"/>
      <c r="H194" s="5"/>
      <c r="I194" s="5"/>
      <c r="J194" s="5"/>
      <c r="K194" s="5"/>
      <c r="L194" s="5"/>
      <c r="M194" s="5"/>
      <c r="N194" s="5"/>
      <c r="O194" s="5"/>
      <c r="P194" s="5"/>
      <c r="Q194" s="5"/>
      <c r="R194" s="5"/>
      <c r="S194" s="5"/>
    </row>
    <row r="195" ht="15.75" customHeight="1">
      <c r="A195" s="5"/>
      <c r="B195" s="5"/>
      <c r="C195" s="7"/>
      <c r="D195" s="5"/>
      <c r="E195" s="8"/>
      <c r="F195" s="5"/>
      <c r="G195" s="5"/>
      <c r="H195" s="5"/>
      <c r="I195" s="5"/>
      <c r="J195" s="5"/>
      <c r="K195" s="5"/>
      <c r="L195" s="5"/>
      <c r="M195" s="5"/>
      <c r="N195" s="5"/>
      <c r="O195" s="5"/>
      <c r="P195" s="5"/>
      <c r="Q195" s="5"/>
      <c r="R195" s="5"/>
      <c r="S195" s="5"/>
    </row>
    <row r="196" ht="15.75" customHeight="1">
      <c r="A196" s="5"/>
      <c r="B196" s="5"/>
      <c r="C196" s="7"/>
      <c r="D196" s="5"/>
      <c r="E196" s="8"/>
      <c r="F196" s="5"/>
      <c r="G196" s="5"/>
      <c r="H196" s="5"/>
      <c r="I196" s="5"/>
      <c r="J196" s="5"/>
      <c r="K196" s="5"/>
      <c r="L196" s="5"/>
      <c r="M196" s="5"/>
      <c r="N196" s="5"/>
      <c r="O196" s="5"/>
      <c r="P196" s="5"/>
      <c r="Q196" s="5"/>
      <c r="R196" s="5"/>
      <c r="S196" s="5"/>
    </row>
    <row r="197" ht="15.75" customHeight="1">
      <c r="A197" s="5"/>
      <c r="B197" s="5"/>
      <c r="C197" s="7"/>
      <c r="D197" s="5"/>
      <c r="E197" s="8"/>
      <c r="F197" s="5"/>
      <c r="G197" s="5"/>
      <c r="H197" s="5"/>
      <c r="I197" s="5"/>
      <c r="J197" s="5"/>
      <c r="K197" s="5"/>
      <c r="L197" s="5"/>
      <c r="M197" s="5"/>
      <c r="N197" s="5"/>
      <c r="O197" s="5"/>
      <c r="P197" s="5"/>
      <c r="Q197" s="5"/>
      <c r="R197" s="5"/>
      <c r="S197" s="5"/>
    </row>
    <row r="198" ht="15.75" customHeight="1">
      <c r="A198" s="5"/>
      <c r="B198" s="5"/>
      <c r="C198" s="7"/>
      <c r="D198" s="5"/>
      <c r="E198" s="8"/>
      <c r="F198" s="5"/>
      <c r="G198" s="5"/>
      <c r="H198" s="5"/>
      <c r="I198" s="5"/>
      <c r="J198" s="5"/>
      <c r="K198" s="5"/>
      <c r="L198" s="5"/>
      <c r="M198" s="5"/>
      <c r="N198" s="5"/>
      <c r="O198" s="5"/>
      <c r="P198" s="5"/>
      <c r="Q198" s="5"/>
      <c r="R198" s="5"/>
      <c r="S198" s="5"/>
    </row>
    <row r="199" ht="15.75" customHeight="1">
      <c r="A199" s="5"/>
      <c r="B199" s="5"/>
      <c r="C199" s="7"/>
      <c r="D199" s="5"/>
      <c r="E199" s="8"/>
      <c r="F199" s="5"/>
      <c r="G199" s="5"/>
      <c r="H199" s="5"/>
      <c r="I199" s="5"/>
      <c r="J199" s="5"/>
      <c r="K199" s="5"/>
      <c r="L199" s="5"/>
      <c r="M199" s="5"/>
      <c r="N199" s="5"/>
      <c r="O199" s="5"/>
      <c r="P199" s="5"/>
      <c r="Q199" s="5"/>
      <c r="R199" s="5"/>
      <c r="S199" s="5"/>
    </row>
    <row r="200" ht="15.75" customHeight="1">
      <c r="A200" s="5"/>
      <c r="B200" s="5"/>
      <c r="C200" s="7"/>
      <c r="D200" s="5"/>
      <c r="E200" s="8"/>
      <c r="F200" s="5"/>
      <c r="G200" s="5"/>
      <c r="H200" s="5"/>
      <c r="I200" s="5"/>
      <c r="J200" s="5"/>
      <c r="K200" s="5"/>
      <c r="L200" s="5"/>
      <c r="M200" s="5"/>
      <c r="N200" s="5"/>
      <c r="O200" s="5"/>
      <c r="P200" s="5"/>
      <c r="Q200" s="5"/>
      <c r="R200" s="5"/>
      <c r="S200" s="5"/>
    </row>
    <row r="201" ht="15.75" customHeight="1">
      <c r="A201" s="5"/>
      <c r="B201" s="5"/>
      <c r="C201" s="7"/>
      <c r="D201" s="5"/>
      <c r="E201" s="8"/>
      <c r="F201" s="5"/>
      <c r="G201" s="5"/>
      <c r="H201" s="5"/>
      <c r="I201" s="5"/>
      <c r="J201" s="5"/>
      <c r="K201" s="5"/>
      <c r="L201" s="5"/>
      <c r="M201" s="5"/>
      <c r="N201" s="5"/>
      <c r="O201" s="5"/>
      <c r="P201" s="5"/>
      <c r="Q201" s="5"/>
      <c r="R201" s="5"/>
      <c r="S201" s="5"/>
    </row>
    <row r="202" ht="15.75" customHeight="1">
      <c r="A202" s="5"/>
      <c r="B202" s="5"/>
      <c r="C202" s="7"/>
      <c r="D202" s="5"/>
      <c r="E202" s="8"/>
      <c r="F202" s="5"/>
      <c r="G202" s="5"/>
      <c r="H202" s="5"/>
      <c r="I202" s="5"/>
      <c r="J202" s="5"/>
      <c r="K202" s="5"/>
      <c r="L202" s="5"/>
      <c r="M202" s="5"/>
      <c r="N202" s="5"/>
      <c r="O202" s="5"/>
      <c r="P202" s="5"/>
      <c r="Q202" s="5"/>
      <c r="R202" s="5"/>
      <c r="S202" s="5"/>
    </row>
    <row r="203" ht="15.75" customHeight="1">
      <c r="A203" s="5"/>
      <c r="B203" s="5"/>
      <c r="C203" s="7"/>
      <c r="D203" s="5"/>
      <c r="E203" s="8"/>
      <c r="F203" s="5"/>
      <c r="G203" s="5"/>
      <c r="H203" s="5"/>
      <c r="I203" s="5"/>
      <c r="J203" s="5"/>
      <c r="K203" s="5"/>
      <c r="L203" s="5"/>
      <c r="M203" s="5"/>
      <c r="N203" s="5"/>
      <c r="O203" s="5"/>
      <c r="P203" s="5"/>
      <c r="Q203" s="5"/>
      <c r="R203" s="5"/>
      <c r="S203" s="5"/>
    </row>
    <row r="204" ht="15.75" customHeight="1">
      <c r="A204" s="5"/>
      <c r="B204" s="5"/>
      <c r="C204" s="7"/>
      <c r="D204" s="5"/>
      <c r="E204" s="8"/>
      <c r="F204" s="5"/>
      <c r="G204" s="5"/>
      <c r="H204" s="5"/>
      <c r="I204" s="5"/>
      <c r="J204" s="5"/>
      <c r="K204" s="5"/>
      <c r="L204" s="5"/>
      <c r="M204" s="5"/>
      <c r="N204" s="5"/>
      <c r="O204" s="5"/>
      <c r="P204" s="5"/>
      <c r="Q204" s="5"/>
      <c r="R204" s="5"/>
      <c r="S204" s="5"/>
    </row>
    <row r="205" ht="15.75" customHeight="1">
      <c r="A205" s="5"/>
      <c r="B205" s="5"/>
      <c r="C205" s="7"/>
      <c r="D205" s="5"/>
      <c r="E205" s="8"/>
      <c r="F205" s="5"/>
      <c r="G205" s="5"/>
      <c r="H205" s="5"/>
      <c r="I205" s="5"/>
      <c r="J205" s="5"/>
      <c r="K205" s="5"/>
      <c r="L205" s="5"/>
      <c r="M205" s="5"/>
      <c r="N205" s="5"/>
      <c r="O205" s="5"/>
      <c r="P205" s="5"/>
      <c r="Q205" s="5"/>
      <c r="R205" s="5"/>
      <c r="S205" s="5"/>
    </row>
    <row r="206" ht="15.75" customHeight="1">
      <c r="A206" s="5"/>
      <c r="B206" s="5"/>
      <c r="C206" s="7"/>
      <c r="D206" s="5"/>
      <c r="E206" s="8"/>
      <c r="F206" s="5"/>
      <c r="G206" s="5"/>
      <c r="H206" s="5"/>
      <c r="I206" s="5"/>
      <c r="J206" s="5"/>
      <c r="K206" s="5"/>
      <c r="L206" s="5"/>
      <c r="M206" s="5"/>
      <c r="N206" s="5"/>
      <c r="O206" s="5"/>
      <c r="P206" s="5"/>
      <c r="Q206" s="5"/>
      <c r="R206" s="5"/>
      <c r="S206" s="5"/>
    </row>
    <row r="207" ht="15.75" customHeight="1">
      <c r="A207" s="5"/>
      <c r="B207" s="5"/>
      <c r="C207" s="7"/>
      <c r="D207" s="5"/>
      <c r="E207" s="8"/>
      <c r="F207" s="5"/>
      <c r="G207" s="5"/>
      <c r="H207" s="5"/>
      <c r="I207" s="5"/>
      <c r="J207" s="5"/>
      <c r="K207" s="5"/>
      <c r="L207" s="5"/>
      <c r="M207" s="5"/>
      <c r="N207" s="5"/>
      <c r="O207" s="5"/>
      <c r="P207" s="5"/>
      <c r="Q207" s="5"/>
      <c r="R207" s="5"/>
      <c r="S207" s="5"/>
    </row>
    <row r="208" ht="15.75" customHeight="1">
      <c r="A208" s="5"/>
      <c r="B208" s="5"/>
      <c r="C208" s="7"/>
      <c r="D208" s="5"/>
      <c r="E208" s="8"/>
      <c r="F208" s="5"/>
      <c r="G208" s="5"/>
      <c r="H208" s="5"/>
      <c r="I208" s="5"/>
      <c r="J208" s="5"/>
      <c r="K208" s="5"/>
      <c r="L208" s="5"/>
      <c r="M208" s="5"/>
      <c r="N208" s="5"/>
      <c r="O208" s="5"/>
      <c r="P208" s="5"/>
      <c r="Q208" s="5"/>
      <c r="R208" s="5"/>
      <c r="S208" s="5"/>
    </row>
    <row r="209" ht="15.75" customHeight="1">
      <c r="A209" s="5"/>
      <c r="B209" s="5"/>
      <c r="C209" s="7"/>
      <c r="D209" s="5"/>
      <c r="E209" s="8"/>
      <c r="F209" s="5"/>
      <c r="G209" s="5"/>
      <c r="H209" s="5"/>
      <c r="I209" s="5"/>
      <c r="J209" s="5"/>
      <c r="K209" s="5"/>
      <c r="L209" s="5"/>
      <c r="M209" s="5"/>
      <c r="N209" s="5"/>
      <c r="O209" s="5"/>
      <c r="P209" s="5"/>
      <c r="Q209" s="5"/>
      <c r="R209" s="5"/>
      <c r="S209" s="5"/>
    </row>
    <row r="210" ht="15.75" customHeight="1">
      <c r="A210" s="5"/>
      <c r="B210" s="5"/>
      <c r="C210" s="7"/>
      <c r="D210" s="5"/>
      <c r="E210" s="8"/>
      <c r="F210" s="5"/>
      <c r="G210" s="5"/>
      <c r="H210" s="5"/>
      <c r="I210" s="5"/>
      <c r="J210" s="5"/>
      <c r="K210" s="5"/>
      <c r="L210" s="5"/>
      <c r="M210" s="5"/>
      <c r="N210" s="5"/>
      <c r="O210" s="5"/>
      <c r="P210" s="5"/>
      <c r="Q210" s="5"/>
      <c r="R210" s="5"/>
      <c r="S210" s="5"/>
    </row>
    <row r="211" ht="15.75" customHeight="1">
      <c r="A211" s="5"/>
      <c r="B211" s="5"/>
      <c r="C211" s="7"/>
      <c r="D211" s="5"/>
      <c r="E211" s="8"/>
      <c r="F211" s="5"/>
      <c r="G211" s="5"/>
      <c r="H211" s="5"/>
      <c r="I211" s="5"/>
      <c r="J211" s="5"/>
      <c r="K211" s="5"/>
      <c r="L211" s="5"/>
      <c r="M211" s="5"/>
      <c r="N211" s="5"/>
      <c r="O211" s="5"/>
      <c r="P211" s="5"/>
      <c r="Q211" s="5"/>
      <c r="R211" s="5"/>
      <c r="S211" s="5"/>
    </row>
    <row r="212" ht="15.75" customHeight="1">
      <c r="A212" s="5"/>
      <c r="B212" s="5"/>
      <c r="C212" s="7"/>
      <c r="D212" s="5"/>
      <c r="E212" s="8"/>
      <c r="F212" s="5"/>
      <c r="G212" s="5"/>
      <c r="H212" s="5"/>
      <c r="I212" s="5"/>
      <c r="J212" s="5"/>
      <c r="K212" s="5"/>
      <c r="L212" s="5"/>
      <c r="M212" s="5"/>
      <c r="N212" s="5"/>
      <c r="O212" s="5"/>
      <c r="P212" s="5"/>
      <c r="Q212" s="5"/>
      <c r="R212" s="5"/>
      <c r="S212" s="5"/>
    </row>
    <row r="213" ht="15.75" customHeight="1">
      <c r="A213" s="5"/>
      <c r="B213" s="5"/>
      <c r="C213" s="7"/>
      <c r="D213" s="5"/>
      <c r="E213" s="8"/>
      <c r="F213" s="5"/>
      <c r="G213" s="5"/>
      <c r="H213" s="5"/>
      <c r="I213" s="5"/>
      <c r="J213" s="5"/>
      <c r="K213" s="5"/>
      <c r="L213" s="5"/>
      <c r="M213" s="5"/>
      <c r="N213" s="5"/>
      <c r="O213" s="5"/>
      <c r="P213" s="5"/>
      <c r="Q213" s="5"/>
      <c r="R213" s="5"/>
      <c r="S213" s="5"/>
    </row>
    <row r="214" ht="15.75" customHeight="1">
      <c r="A214" s="5"/>
      <c r="B214" s="5"/>
      <c r="C214" s="7"/>
      <c r="D214" s="5"/>
      <c r="E214" s="8"/>
      <c r="F214" s="5"/>
      <c r="G214" s="5"/>
      <c r="H214" s="5"/>
      <c r="I214" s="5"/>
      <c r="J214" s="5"/>
      <c r="K214" s="5"/>
      <c r="L214" s="5"/>
      <c r="M214" s="5"/>
      <c r="N214" s="5"/>
      <c r="O214" s="5"/>
      <c r="P214" s="5"/>
      <c r="Q214" s="5"/>
      <c r="R214" s="5"/>
      <c r="S214" s="5"/>
    </row>
    <row r="215" ht="15.75" customHeight="1">
      <c r="A215" s="5"/>
      <c r="B215" s="5"/>
      <c r="C215" s="7"/>
      <c r="D215" s="5"/>
      <c r="E215" s="8"/>
      <c r="F215" s="5"/>
      <c r="G215" s="5"/>
      <c r="H215" s="5"/>
      <c r="I215" s="5"/>
      <c r="J215" s="5"/>
      <c r="K215" s="5"/>
      <c r="L215" s="5"/>
      <c r="M215" s="5"/>
      <c r="N215" s="5"/>
      <c r="O215" s="5"/>
      <c r="P215" s="5"/>
      <c r="Q215" s="5"/>
      <c r="R215" s="5"/>
      <c r="S215" s="5"/>
    </row>
    <row r="216" ht="15.75" customHeight="1">
      <c r="A216" s="5"/>
      <c r="B216" s="5"/>
      <c r="C216" s="7"/>
      <c r="D216" s="5"/>
      <c r="E216" s="8"/>
      <c r="F216" s="5"/>
      <c r="G216" s="5"/>
      <c r="H216" s="5"/>
      <c r="I216" s="5"/>
      <c r="J216" s="5"/>
      <c r="K216" s="5"/>
      <c r="L216" s="5"/>
      <c r="M216" s="5"/>
      <c r="N216" s="5"/>
      <c r="O216" s="5"/>
      <c r="P216" s="5"/>
      <c r="Q216" s="5"/>
      <c r="R216" s="5"/>
      <c r="S216" s="5"/>
    </row>
    <row r="217" ht="15.75" customHeight="1">
      <c r="A217" s="5"/>
      <c r="B217" s="5"/>
      <c r="C217" s="7"/>
      <c r="D217" s="5"/>
      <c r="E217" s="8"/>
      <c r="F217" s="5"/>
      <c r="G217" s="5"/>
      <c r="H217" s="5"/>
      <c r="I217" s="5"/>
      <c r="J217" s="5"/>
      <c r="K217" s="5"/>
      <c r="L217" s="5"/>
      <c r="M217" s="5"/>
      <c r="N217" s="5"/>
      <c r="O217" s="5"/>
      <c r="P217" s="5"/>
      <c r="Q217" s="5"/>
      <c r="R217" s="5"/>
      <c r="S217" s="5"/>
    </row>
    <row r="218" ht="15.75" customHeight="1">
      <c r="A218" s="5"/>
      <c r="B218" s="5"/>
      <c r="C218" s="7"/>
      <c r="D218" s="5"/>
      <c r="E218" s="8"/>
      <c r="F218" s="5"/>
      <c r="G218" s="5"/>
      <c r="H218" s="5"/>
      <c r="I218" s="5"/>
      <c r="J218" s="5"/>
      <c r="K218" s="5"/>
      <c r="L218" s="5"/>
      <c r="M218" s="5"/>
      <c r="N218" s="5"/>
      <c r="O218" s="5"/>
      <c r="P218" s="5"/>
      <c r="Q218" s="5"/>
      <c r="R218" s="5"/>
      <c r="S218" s="5"/>
    </row>
    <row r="219" ht="15.75" customHeight="1">
      <c r="A219" s="5"/>
      <c r="B219" s="5"/>
      <c r="C219" s="7"/>
      <c r="D219" s="5"/>
      <c r="E219" s="8"/>
      <c r="F219" s="5"/>
      <c r="G219" s="5"/>
      <c r="H219" s="5"/>
      <c r="I219" s="5"/>
      <c r="J219" s="5"/>
      <c r="K219" s="5"/>
      <c r="L219" s="5"/>
      <c r="M219" s="5"/>
      <c r="N219" s="5"/>
      <c r="O219" s="5"/>
      <c r="P219" s="5"/>
      <c r="Q219" s="5"/>
      <c r="R219" s="5"/>
      <c r="S219" s="5"/>
    </row>
    <row r="220" ht="15.75" customHeight="1">
      <c r="A220" s="5"/>
      <c r="B220" s="5"/>
      <c r="C220" s="7"/>
      <c r="D220" s="5"/>
      <c r="E220" s="8"/>
      <c r="F220" s="5"/>
      <c r="G220" s="5"/>
      <c r="H220" s="5"/>
      <c r="I220" s="5"/>
      <c r="J220" s="5"/>
      <c r="K220" s="5"/>
      <c r="L220" s="5"/>
      <c r="M220" s="5"/>
      <c r="N220" s="5"/>
      <c r="O220" s="5"/>
      <c r="P220" s="5"/>
      <c r="Q220" s="5"/>
      <c r="R220" s="5"/>
      <c r="S220" s="5"/>
    </row>
    <row r="221" ht="15.75" customHeight="1">
      <c r="A221" s="5"/>
      <c r="B221" s="5"/>
      <c r="C221" s="7"/>
      <c r="D221" s="5"/>
      <c r="E221" s="8"/>
      <c r="F221" s="5"/>
      <c r="G221" s="5"/>
      <c r="H221" s="5"/>
      <c r="I221" s="5"/>
      <c r="J221" s="5"/>
      <c r="K221" s="5"/>
      <c r="L221" s="5"/>
      <c r="M221" s="5"/>
      <c r="N221" s="5"/>
      <c r="O221" s="5"/>
      <c r="P221" s="5"/>
      <c r="Q221" s="5"/>
      <c r="R221" s="5"/>
      <c r="S221" s="5"/>
    </row>
    <row r="222" ht="15.75" customHeight="1">
      <c r="A222" s="5"/>
      <c r="B222" s="5"/>
      <c r="C222" s="7"/>
      <c r="D222" s="5"/>
      <c r="E222" s="8"/>
      <c r="F222" s="5"/>
      <c r="G222" s="5"/>
      <c r="H222" s="5"/>
      <c r="I222" s="5"/>
      <c r="J222" s="5"/>
      <c r="K222" s="5"/>
      <c r="L222" s="5"/>
      <c r="M222" s="5"/>
      <c r="N222" s="5"/>
      <c r="O222" s="5"/>
      <c r="P222" s="5"/>
      <c r="Q222" s="5"/>
      <c r="R222" s="5"/>
      <c r="S222" s="5"/>
    </row>
    <row r="223" ht="15.75" customHeight="1">
      <c r="A223" s="5"/>
      <c r="B223" s="5"/>
      <c r="C223" s="7"/>
      <c r="D223" s="5"/>
      <c r="E223" s="8"/>
      <c r="F223" s="5"/>
      <c r="G223" s="5"/>
      <c r="H223" s="5"/>
      <c r="I223" s="5"/>
      <c r="J223" s="5"/>
      <c r="K223" s="5"/>
      <c r="L223" s="5"/>
      <c r="M223" s="5"/>
      <c r="N223" s="5"/>
      <c r="O223" s="5"/>
      <c r="P223" s="5"/>
      <c r="Q223" s="5"/>
      <c r="R223" s="5"/>
      <c r="S223" s="5"/>
    </row>
    <row r="224" ht="15.75" customHeight="1">
      <c r="A224" s="5"/>
      <c r="B224" s="5"/>
      <c r="C224" s="7"/>
      <c r="D224" s="5"/>
      <c r="E224" s="8"/>
      <c r="F224" s="5"/>
      <c r="G224" s="5"/>
      <c r="H224" s="5"/>
      <c r="I224" s="5"/>
      <c r="J224" s="5"/>
      <c r="K224" s="5"/>
      <c r="L224" s="5"/>
      <c r="M224" s="5"/>
      <c r="N224" s="5"/>
      <c r="O224" s="5"/>
      <c r="P224" s="5"/>
      <c r="Q224" s="5"/>
      <c r="R224" s="5"/>
      <c r="S224" s="5"/>
    </row>
    <row r="225" ht="15.75" customHeight="1">
      <c r="A225" s="5"/>
      <c r="B225" s="5"/>
      <c r="C225" s="7"/>
      <c r="D225" s="5"/>
      <c r="E225" s="8"/>
      <c r="F225" s="5"/>
      <c r="G225" s="5"/>
      <c r="H225" s="5"/>
      <c r="I225" s="5"/>
      <c r="J225" s="5"/>
      <c r="K225" s="5"/>
      <c r="L225" s="5"/>
      <c r="M225" s="5"/>
      <c r="N225" s="5"/>
      <c r="O225" s="5"/>
      <c r="P225" s="5"/>
      <c r="Q225" s="5"/>
      <c r="R225" s="5"/>
      <c r="S225" s="5"/>
    </row>
    <row r="226" ht="15.75" customHeight="1">
      <c r="A226" s="5"/>
      <c r="B226" s="5"/>
      <c r="C226" s="7"/>
      <c r="D226" s="5"/>
      <c r="E226" s="8"/>
      <c r="F226" s="5"/>
      <c r="G226" s="5"/>
      <c r="H226" s="5"/>
      <c r="I226" s="5"/>
      <c r="J226" s="5"/>
      <c r="K226" s="5"/>
      <c r="L226" s="5"/>
      <c r="M226" s="5"/>
      <c r="N226" s="5"/>
      <c r="O226" s="5"/>
      <c r="P226" s="5"/>
      <c r="Q226" s="5"/>
      <c r="R226" s="5"/>
      <c r="S226" s="5"/>
    </row>
    <row r="227" ht="15.75" customHeight="1">
      <c r="A227" s="5"/>
      <c r="B227" s="5"/>
      <c r="C227" s="7"/>
      <c r="D227" s="5"/>
      <c r="E227" s="8"/>
      <c r="F227" s="5"/>
      <c r="G227" s="5"/>
      <c r="H227" s="5"/>
      <c r="I227" s="5"/>
      <c r="J227" s="5"/>
      <c r="K227" s="5"/>
      <c r="L227" s="5"/>
      <c r="M227" s="5"/>
      <c r="N227" s="5"/>
      <c r="O227" s="5"/>
      <c r="P227" s="5"/>
      <c r="Q227" s="5"/>
      <c r="R227" s="5"/>
      <c r="S227" s="5"/>
    </row>
    <row r="228" ht="15.75" customHeight="1">
      <c r="A228" s="5"/>
      <c r="B228" s="5"/>
      <c r="C228" s="7"/>
      <c r="D228" s="5"/>
      <c r="E228" s="8"/>
      <c r="F228" s="5"/>
      <c r="G228" s="5"/>
      <c r="H228" s="5"/>
      <c r="I228" s="5"/>
      <c r="J228" s="5"/>
      <c r="K228" s="5"/>
      <c r="L228" s="5"/>
      <c r="M228" s="5"/>
      <c r="N228" s="5"/>
      <c r="O228" s="5"/>
      <c r="P228" s="5"/>
      <c r="Q228" s="5"/>
      <c r="R228" s="5"/>
      <c r="S228" s="5"/>
    </row>
    <row r="229" ht="15.75" customHeight="1">
      <c r="A229" s="5"/>
      <c r="B229" s="5"/>
      <c r="C229" s="7"/>
      <c r="D229" s="5"/>
      <c r="E229" s="8"/>
      <c r="F229" s="5"/>
      <c r="G229" s="5"/>
      <c r="H229" s="5"/>
      <c r="I229" s="5"/>
      <c r="J229" s="5"/>
      <c r="K229" s="5"/>
      <c r="L229" s="5"/>
      <c r="M229" s="5"/>
      <c r="N229" s="5"/>
      <c r="O229" s="5"/>
      <c r="P229" s="5"/>
      <c r="Q229" s="5"/>
      <c r="R229" s="5"/>
      <c r="S229" s="5"/>
    </row>
    <row r="230" ht="15.75" customHeight="1">
      <c r="A230" s="5"/>
      <c r="B230" s="5"/>
      <c r="C230" s="7"/>
      <c r="D230" s="5"/>
      <c r="E230" s="8"/>
      <c r="F230" s="5"/>
      <c r="G230" s="5"/>
      <c r="H230" s="5"/>
      <c r="I230" s="5"/>
      <c r="J230" s="5"/>
      <c r="K230" s="5"/>
      <c r="L230" s="5"/>
      <c r="M230" s="5"/>
      <c r="N230" s="5"/>
      <c r="O230" s="5"/>
      <c r="P230" s="5"/>
      <c r="Q230" s="5"/>
      <c r="R230" s="5"/>
      <c r="S230" s="5"/>
    </row>
    <row r="231" ht="15.75" customHeight="1">
      <c r="A231" s="5"/>
      <c r="B231" s="5"/>
      <c r="C231" s="7"/>
      <c r="D231" s="5"/>
      <c r="E231" s="8"/>
      <c r="F231" s="5"/>
      <c r="G231" s="5"/>
      <c r="H231" s="5"/>
      <c r="I231" s="5"/>
      <c r="J231" s="5"/>
      <c r="K231" s="5"/>
      <c r="L231" s="5"/>
      <c r="M231" s="5"/>
      <c r="N231" s="5"/>
      <c r="O231" s="5"/>
      <c r="P231" s="5"/>
      <c r="Q231" s="5"/>
      <c r="R231" s="5"/>
      <c r="S231" s="5"/>
    </row>
    <row r="232" ht="15.75" customHeight="1">
      <c r="A232" s="5"/>
      <c r="B232" s="5"/>
      <c r="C232" s="7"/>
      <c r="D232" s="5"/>
      <c r="E232" s="8"/>
      <c r="F232" s="5"/>
      <c r="G232" s="5"/>
      <c r="H232" s="5"/>
      <c r="I232" s="5"/>
      <c r="J232" s="5"/>
      <c r="K232" s="5"/>
      <c r="L232" s="5"/>
      <c r="M232" s="5"/>
      <c r="N232" s="5"/>
      <c r="O232" s="5"/>
      <c r="P232" s="5"/>
      <c r="Q232" s="5"/>
      <c r="R232" s="5"/>
      <c r="S232" s="5"/>
    </row>
    <row r="233" ht="15.75" customHeight="1">
      <c r="A233" s="5"/>
      <c r="B233" s="5"/>
      <c r="C233" s="7"/>
      <c r="D233" s="5"/>
      <c r="E233" s="8"/>
      <c r="F233" s="5"/>
      <c r="G233" s="5"/>
      <c r="H233" s="5"/>
      <c r="I233" s="5"/>
      <c r="J233" s="5"/>
      <c r="K233" s="5"/>
      <c r="L233" s="5"/>
      <c r="M233" s="5"/>
      <c r="N233" s="5"/>
      <c r="O233" s="5"/>
      <c r="P233" s="5"/>
      <c r="Q233" s="5"/>
      <c r="R233" s="5"/>
      <c r="S233" s="5"/>
    </row>
    <row r="234" ht="15.75" customHeight="1">
      <c r="A234" s="5"/>
      <c r="B234" s="5"/>
      <c r="C234" s="7"/>
      <c r="D234" s="5"/>
      <c r="E234" s="8"/>
      <c r="F234" s="5"/>
      <c r="G234" s="5"/>
      <c r="H234" s="5"/>
      <c r="I234" s="5"/>
      <c r="J234" s="5"/>
      <c r="K234" s="5"/>
      <c r="L234" s="5"/>
      <c r="M234" s="5"/>
      <c r="N234" s="5"/>
      <c r="O234" s="5"/>
      <c r="P234" s="5"/>
      <c r="Q234" s="5"/>
      <c r="R234" s="5"/>
      <c r="S234" s="5"/>
    </row>
    <row r="235" ht="15.75" customHeight="1">
      <c r="A235" s="5"/>
      <c r="B235" s="5"/>
      <c r="C235" s="7"/>
      <c r="D235" s="5"/>
      <c r="E235" s="8"/>
      <c r="F235" s="5"/>
      <c r="G235" s="5"/>
      <c r="H235" s="5"/>
      <c r="I235" s="5"/>
      <c r="J235" s="5"/>
      <c r="K235" s="5"/>
      <c r="L235" s="5"/>
      <c r="M235" s="5"/>
      <c r="N235" s="5"/>
      <c r="O235" s="5"/>
      <c r="P235" s="5"/>
      <c r="Q235" s="5"/>
      <c r="R235" s="5"/>
      <c r="S235" s="5"/>
    </row>
    <row r="236" ht="15.75" customHeight="1">
      <c r="A236" s="5"/>
      <c r="B236" s="5"/>
      <c r="C236" s="7"/>
      <c r="D236" s="5"/>
      <c r="E236" s="8"/>
      <c r="F236" s="5"/>
      <c r="G236" s="5"/>
      <c r="H236" s="5"/>
      <c r="I236" s="5"/>
      <c r="J236" s="5"/>
      <c r="K236" s="5"/>
      <c r="L236" s="5"/>
      <c r="M236" s="5"/>
      <c r="N236" s="5"/>
      <c r="O236" s="5"/>
      <c r="P236" s="5"/>
      <c r="Q236" s="5"/>
      <c r="R236" s="5"/>
      <c r="S236" s="5"/>
    </row>
    <row r="237" ht="15.75" customHeight="1">
      <c r="A237" s="5"/>
      <c r="B237" s="5"/>
      <c r="C237" s="7"/>
      <c r="D237" s="5"/>
      <c r="E237" s="8"/>
      <c r="F237" s="5"/>
      <c r="G237" s="5"/>
      <c r="H237" s="5"/>
      <c r="I237" s="5"/>
      <c r="J237" s="5"/>
      <c r="K237" s="5"/>
      <c r="L237" s="5"/>
      <c r="M237" s="5"/>
      <c r="N237" s="5"/>
      <c r="O237" s="5"/>
      <c r="P237" s="5"/>
      <c r="Q237" s="5"/>
      <c r="R237" s="5"/>
      <c r="S237" s="5"/>
    </row>
    <row r="238" ht="15.75" customHeight="1">
      <c r="A238" s="5"/>
      <c r="B238" s="5"/>
      <c r="C238" s="7"/>
      <c r="D238" s="5"/>
      <c r="E238" s="8"/>
      <c r="F238" s="5"/>
      <c r="G238" s="5"/>
      <c r="H238" s="5"/>
      <c r="I238" s="5"/>
      <c r="J238" s="5"/>
      <c r="K238" s="5"/>
      <c r="L238" s="5"/>
      <c r="M238" s="5"/>
      <c r="N238" s="5"/>
      <c r="O238" s="5"/>
      <c r="P238" s="5"/>
      <c r="Q238" s="5"/>
      <c r="R238" s="5"/>
      <c r="S238" s="5"/>
    </row>
    <row r="239" ht="15.75" customHeight="1">
      <c r="A239" s="5"/>
      <c r="B239" s="5"/>
      <c r="C239" s="7"/>
      <c r="D239" s="5"/>
      <c r="E239" s="8"/>
      <c r="F239" s="5"/>
      <c r="G239" s="5"/>
      <c r="H239" s="5"/>
      <c r="I239" s="5"/>
      <c r="J239" s="5"/>
      <c r="K239" s="5"/>
      <c r="L239" s="5"/>
      <c r="M239" s="5"/>
      <c r="N239" s="5"/>
      <c r="O239" s="5"/>
      <c r="P239" s="5"/>
      <c r="Q239" s="5"/>
      <c r="R239" s="5"/>
      <c r="S239" s="5"/>
    </row>
    <row r="240" ht="15.75" customHeight="1">
      <c r="A240" s="5"/>
      <c r="B240" s="5"/>
      <c r="C240" s="7"/>
      <c r="D240" s="5"/>
      <c r="E240" s="8"/>
      <c r="F240" s="5"/>
      <c r="G240" s="5"/>
      <c r="H240" s="5"/>
      <c r="I240" s="5"/>
      <c r="J240" s="5"/>
      <c r="K240" s="5"/>
      <c r="L240" s="5"/>
      <c r="M240" s="5"/>
      <c r="N240" s="5"/>
      <c r="O240" s="5"/>
      <c r="P240" s="5"/>
      <c r="Q240" s="5"/>
      <c r="R240" s="5"/>
      <c r="S240" s="5"/>
    </row>
    <row r="241" ht="15.75" customHeight="1">
      <c r="A241" s="5"/>
      <c r="B241" s="5"/>
      <c r="C241" s="7"/>
      <c r="D241" s="5"/>
      <c r="E241" s="8"/>
      <c r="F241" s="5"/>
      <c r="G241" s="5"/>
      <c r="H241" s="5"/>
      <c r="I241" s="5"/>
      <c r="J241" s="5"/>
      <c r="K241" s="5"/>
      <c r="L241" s="5"/>
      <c r="M241" s="5"/>
      <c r="N241" s="5"/>
      <c r="O241" s="5"/>
      <c r="P241" s="5"/>
      <c r="Q241" s="5"/>
      <c r="R241" s="5"/>
      <c r="S241" s="5"/>
    </row>
    <row r="242" ht="15.75" customHeight="1">
      <c r="A242" s="5"/>
      <c r="B242" s="5"/>
      <c r="C242" s="7"/>
      <c r="D242" s="5"/>
      <c r="E242" s="8"/>
      <c r="F242" s="5"/>
      <c r="G242" s="5"/>
      <c r="H242" s="5"/>
      <c r="I242" s="5"/>
      <c r="J242" s="5"/>
      <c r="K242" s="5"/>
      <c r="L242" s="5"/>
      <c r="M242" s="5"/>
      <c r="N242" s="5"/>
      <c r="O242" s="5"/>
      <c r="P242" s="5"/>
      <c r="Q242" s="5"/>
      <c r="R242" s="5"/>
      <c r="S242" s="5"/>
    </row>
    <row r="243" ht="15.75" customHeight="1">
      <c r="A243" s="5"/>
      <c r="B243" s="5"/>
      <c r="C243" s="7"/>
      <c r="D243" s="5"/>
      <c r="E243" s="8"/>
      <c r="F243" s="5"/>
      <c r="G243" s="5"/>
      <c r="H243" s="5"/>
      <c r="I243" s="5"/>
      <c r="J243" s="5"/>
      <c r="K243" s="5"/>
      <c r="L243" s="5"/>
      <c r="M243" s="5"/>
      <c r="N243" s="5"/>
      <c r="O243" s="5"/>
      <c r="P243" s="5"/>
      <c r="Q243" s="5"/>
      <c r="R243" s="5"/>
      <c r="S243" s="5"/>
    </row>
    <row r="244" ht="15.75" customHeight="1">
      <c r="A244" s="5"/>
      <c r="B244" s="5"/>
      <c r="C244" s="7"/>
      <c r="D244" s="5"/>
      <c r="E244" s="8"/>
      <c r="F244" s="5"/>
      <c r="G244" s="5"/>
      <c r="H244" s="5"/>
      <c r="I244" s="5"/>
      <c r="J244" s="5"/>
      <c r="K244" s="5"/>
      <c r="L244" s="5"/>
      <c r="M244" s="5"/>
      <c r="N244" s="5"/>
      <c r="O244" s="5"/>
      <c r="P244" s="5"/>
      <c r="Q244" s="5"/>
      <c r="R244" s="5"/>
      <c r="S244" s="5"/>
    </row>
    <row r="245" ht="15.75" customHeight="1">
      <c r="A245" s="5"/>
      <c r="B245" s="5"/>
      <c r="C245" s="7"/>
      <c r="D245" s="5"/>
      <c r="E245" s="8"/>
      <c r="F245" s="5"/>
      <c r="G245" s="5"/>
      <c r="H245" s="5"/>
      <c r="I245" s="5"/>
      <c r="J245" s="5"/>
      <c r="K245" s="5"/>
      <c r="L245" s="5"/>
      <c r="M245" s="5"/>
      <c r="N245" s="5"/>
      <c r="O245" s="5"/>
      <c r="P245" s="5"/>
      <c r="Q245" s="5"/>
      <c r="R245" s="5"/>
      <c r="S245" s="5"/>
    </row>
    <row r="246" ht="15.75" customHeight="1">
      <c r="A246" s="5"/>
      <c r="B246" s="5"/>
      <c r="C246" s="7"/>
      <c r="D246" s="5"/>
      <c r="E246" s="8"/>
      <c r="F246" s="5"/>
      <c r="G246" s="5"/>
      <c r="H246" s="5"/>
      <c r="I246" s="5"/>
      <c r="J246" s="5"/>
      <c r="K246" s="5"/>
      <c r="L246" s="5"/>
      <c r="M246" s="5"/>
      <c r="N246" s="5"/>
      <c r="O246" s="5"/>
      <c r="P246" s="5"/>
      <c r="Q246" s="5"/>
      <c r="R246" s="5"/>
      <c r="S246" s="5"/>
    </row>
    <row r="247" ht="15.75" customHeight="1">
      <c r="A247" s="5"/>
      <c r="B247" s="5"/>
      <c r="C247" s="7"/>
      <c r="D247" s="5"/>
      <c r="E247" s="8"/>
      <c r="F247" s="5"/>
      <c r="G247" s="5"/>
      <c r="H247" s="5"/>
      <c r="I247" s="5"/>
      <c r="J247" s="5"/>
      <c r="K247" s="5"/>
      <c r="L247" s="5"/>
      <c r="M247" s="5"/>
      <c r="N247" s="5"/>
      <c r="O247" s="5"/>
      <c r="P247" s="5"/>
      <c r="Q247" s="5"/>
      <c r="R247" s="5"/>
      <c r="S247" s="5"/>
    </row>
    <row r="248" ht="15.75" customHeight="1">
      <c r="A248" s="5"/>
      <c r="B248" s="5"/>
      <c r="C248" s="7"/>
      <c r="D248" s="5"/>
      <c r="E248" s="8"/>
      <c r="F248" s="5"/>
      <c r="G248" s="5"/>
      <c r="H248" s="5"/>
      <c r="I248" s="5"/>
      <c r="J248" s="5"/>
      <c r="K248" s="5"/>
      <c r="L248" s="5"/>
      <c r="M248" s="5"/>
      <c r="N248" s="5"/>
      <c r="O248" s="5"/>
      <c r="P248" s="5"/>
      <c r="Q248" s="5"/>
      <c r="R248" s="5"/>
      <c r="S248" s="5"/>
    </row>
    <row r="249" ht="15.75" customHeight="1">
      <c r="A249" s="5"/>
      <c r="B249" s="5"/>
      <c r="C249" s="7"/>
      <c r="D249" s="5"/>
      <c r="E249" s="8"/>
      <c r="F249" s="5"/>
      <c r="G249" s="5"/>
      <c r="H249" s="5"/>
      <c r="I249" s="5"/>
      <c r="J249" s="5"/>
      <c r="K249" s="5"/>
      <c r="L249" s="5"/>
      <c r="M249" s="5"/>
      <c r="N249" s="5"/>
      <c r="O249" s="5"/>
      <c r="P249" s="5"/>
      <c r="Q249" s="5"/>
      <c r="R249" s="5"/>
      <c r="S249" s="5"/>
    </row>
    <row r="250" ht="15.75" customHeight="1">
      <c r="A250" s="5"/>
      <c r="B250" s="5"/>
      <c r="C250" s="7"/>
      <c r="D250" s="5"/>
      <c r="E250" s="8"/>
      <c r="F250" s="5"/>
      <c r="G250" s="5"/>
      <c r="H250" s="5"/>
      <c r="I250" s="5"/>
      <c r="J250" s="5"/>
      <c r="K250" s="5"/>
      <c r="L250" s="5"/>
      <c r="M250" s="5"/>
      <c r="N250" s="5"/>
      <c r="O250" s="5"/>
      <c r="P250" s="5"/>
      <c r="Q250" s="5"/>
      <c r="R250" s="5"/>
      <c r="S250" s="5"/>
    </row>
    <row r="251" ht="15.75" customHeight="1">
      <c r="A251" s="5"/>
      <c r="B251" s="5"/>
      <c r="C251" s="7"/>
      <c r="D251" s="5"/>
      <c r="E251" s="8"/>
      <c r="F251" s="5"/>
      <c r="G251" s="5"/>
      <c r="H251" s="5"/>
      <c r="I251" s="5"/>
      <c r="J251" s="5"/>
      <c r="K251" s="5"/>
      <c r="L251" s="5"/>
      <c r="M251" s="5"/>
      <c r="N251" s="5"/>
      <c r="O251" s="5"/>
      <c r="P251" s="5"/>
      <c r="Q251" s="5"/>
      <c r="R251" s="5"/>
      <c r="S251" s="5"/>
    </row>
    <row r="252" ht="15.75" customHeight="1">
      <c r="A252" s="5"/>
      <c r="B252" s="5"/>
      <c r="C252" s="7"/>
      <c r="D252" s="5"/>
      <c r="E252" s="8"/>
      <c r="F252" s="5"/>
      <c r="G252" s="5"/>
      <c r="H252" s="5"/>
      <c r="I252" s="5"/>
      <c r="J252" s="5"/>
      <c r="K252" s="5"/>
      <c r="L252" s="5"/>
      <c r="M252" s="5"/>
      <c r="N252" s="5"/>
      <c r="O252" s="5"/>
      <c r="P252" s="5"/>
      <c r="Q252" s="5"/>
      <c r="R252" s="5"/>
      <c r="S252" s="5"/>
    </row>
    <row r="253" ht="15.75" customHeight="1">
      <c r="A253" s="5"/>
      <c r="B253" s="5"/>
      <c r="C253" s="7"/>
      <c r="D253" s="5"/>
      <c r="E253" s="8"/>
      <c r="F253" s="5"/>
      <c r="G253" s="5"/>
      <c r="H253" s="5"/>
      <c r="I253" s="5"/>
      <c r="J253" s="5"/>
      <c r="K253" s="5"/>
      <c r="L253" s="5"/>
      <c r="M253" s="5"/>
      <c r="N253" s="5"/>
      <c r="O253" s="5"/>
      <c r="P253" s="5"/>
      <c r="Q253" s="5"/>
      <c r="R253" s="5"/>
      <c r="S253" s="5"/>
    </row>
    <row r="254" ht="15.75" customHeight="1">
      <c r="A254" s="5"/>
      <c r="B254" s="5"/>
      <c r="C254" s="7"/>
      <c r="D254" s="5"/>
      <c r="E254" s="8"/>
      <c r="F254" s="5"/>
      <c r="G254" s="5"/>
      <c r="H254" s="5"/>
      <c r="I254" s="5"/>
      <c r="J254" s="5"/>
      <c r="K254" s="5"/>
      <c r="L254" s="5"/>
      <c r="M254" s="5"/>
      <c r="N254" s="5"/>
      <c r="O254" s="5"/>
      <c r="P254" s="5"/>
      <c r="Q254" s="5"/>
      <c r="R254" s="5"/>
      <c r="S254" s="5"/>
    </row>
    <row r="255" ht="15.75" customHeight="1">
      <c r="A255" s="5"/>
      <c r="B255" s="5"/>
      <c r="C255" s="7"/>
      <c r="D255" s="5"/>
      <c r="E255" s="8"/>
      <c r="F255" s="5"/>
      <c r="G255" s="5"/>
      <c r="H255" s="5"/>
      <c r="I255" s="5"/>
      <c r="J255" s="5"/>
      <c r="K255" s="5"/>
      <c r="L255" s="5"/>
      <c r="M255" s="5"/>
      <c r="N255" s="5"/>
      <c r="O255" s="5"/>
      <c r="P255" s="5"/>
      <c r="Q255" s="5"/>
      <c r="R255" s="5"/>
      <c r="S255" s="5"/>
    </row>
    <row r="256" ht="15.75" customHeight="1">
      <c r="A256" s="5"/>
      <c r="B256" s="5"/>
      <c r="C256" s="7"/>
      <c r="D256" s="5"/>
      <c r="E256" s="8"/>
      <c r="F256" s="5"/>
      <c r="G256" s="5"/>
      <c r="H256" s="5"/>
      <c r="I256" s="5"/>
      <c r="J256" s="5"/>
      <c r="K256" s="5"/>
      <c r="L256" s="5"/>
      <c r="M256" s="5"/>
      <c r="N256" s="5"/>
      <c r="O256" s="5"/>
      <c r="P256" s="5"/>
      <c r="Q256" s="5"/>
      <c r="R256" s="5"/>
      <c r="S256" s="5"/>
    </row>
    <row r="257" ht="15.75" customHeight="1">
      <c r="A257" s="5"/>
      <c r="B257" s="5"/>
      <c r="C257" s="7"/>
      <c r="D257" s="5"/>
      <c r="E257" s="8"/>
      <c r="F257" s="5"/>
      <c r="G257" s="5"/>
      <c r="H257" s="5"/>
      <c r="I257" s="5"/>
      <c r="J257" s="5"/>
      <c r="K257" s="5"/>
      <c r="L257" s="5"/>
      <c r="M257" s="5"/>
      <c r="N257" s="5"/>
      <c r="O257" s="5"/>
      <c r="P257" s="5"/>
      <c r="Q257" s="5"/>
      <c r="R257" s="5"/>
      <c r="S257" s="5"/>
    </row>
    <row r="258" ht="15.75" customHeight="1">
      <c r="A258" s="5"/>
      <c r="B258" s="5"/>
      <c r="C258" s="7"/>
      <c r="D258" s="5"/>
      <c r="E258" s="8"/>
      <c r="F258" s="5"/>
      <c r="G258" s="5"/>
      <c r="H258" s="5"/>
      <c r="I258" s="5"/>
      <c r="J258" s="5"/>
      <c r="K258" s="5"/>
      <c r="L258" s="5"/>
      <c r="M258" s="5"/>
      <c r="N258" s="5"/>
      <c r="O258" s="5"/>
      <c r="P258" s="5"/>
      <c r="Q258" s="5"/>
      <c r="R258" s="5"/>
      <c r="S258" s="5"/>
    </row>
    <row r="259" ht="15.75" customHeight="1">
      <c r="A259" s="5"/>
      <c r="B259" s="5"/>
      <c r="C259" s="7"/>
      <c r="D259" s="5"/>
      <c r="E259" s="8"/>
      <c r="F259" s="5"/>
      <c r="G259" s="5"/>
      <c r="H259" s="5"/>
      <c r="I259" s="5"/>
      <c r="J259" s="5"/>
      <c r="K259" s="5"/>
      <c r="L259" s="5"/>
      <c r="M259" s="5"/>
      <c r="N259" s="5"/>
      <c r="O259" s="5"/>
      <c r="P259" s="5"/>
      <c r="Q259" s="5"/>
      <c r="R259" s="5"/>
      <c r="S259" s="5"/>
    </row>
    <row r="260" ht="15.75" customHeight="1">
      <c r="A260" s="5"/>
      <c r="B260" s="5"/>
      <c r="C260" s="7"/>
      <c r="D260" s="5"/>
      <c r="E260" s="8"/>
      <c r="F260" s="5"/>
      <c r="G260" s="5"/>
      <c r="H260" s="5"/>
      <c r="I260" s="5"/>
      <c r="J260" s="5"/>
      <c r="K260" s="5"/>
      <c r="L260" s="5"/>
      <c r="M260" s="5"/>
      <c r="N260" s="5"/>
      <c r="O260" s="5"/>
      <c r="P260" s="5"/>
      <c r="Q260" s="5"/>
      <c r="R260" s="5"/>
      <c r="S260" s="5"/>
    </row>
    <row r="261" ht="15.75" customHeight="1">
      <c r="A261" s="5"/>
      <c r="B261" s="5"/>
      <c r="C261" s="7"/>
      <c r="D261" s="5"/>
      <c r="E261" s="8"/>
      <c r="F261" s="5"/>
      <c r="G261" s="5"/>
      <c r="H261" s="5"/>
      <c r="I261" s="5"/>
      <c r="J261" s="5"/>
      <c r="K261" s="5"/>
      <c r="L261" s="5"/>
      <c r="M261" s="5"/>
      <c r="N261" s="5"/>
      <c r="O261" s="5"/>
      <c r="P261" s="5"/>
      <c r="Q261" s="5"/>
      <c r="R261" s="5"/>
      <c r="S261" s="5"/>
    </row>
    <row r="262" ht="15.75" customHeight="1">
      <c r="A262" s="5"/>
      <c r="B262" s="5"/>
      <c r="C262" s="7"/>
      <c r="D262" s="5"/>
      <c r="E262" s="8"/>
      <c r="F262" s="5"/>
      <c r="G262" s="5"/>
      <c r="H262" s="5"/>
      <c r="I262" s="5"/>
      <c r="J262" s="5"/>
      <c r="K262" s="5"/>
      <c r="L262" s="5"/>
      <c r="M262" s="5"/>
      <c r="N262" s="5"/>
      <c r="O262" s="5"/>
      <c r="P262" s="5"/>
      <c r="Q262" s="5"/>
      <c r="R262" s="5"/>
      <c r="S262" s="5"/>
    </row>
    <row r="263" ht="15.75" customHeight="1">
      <c r="A263" s="5"/>
      <c r="B263" s="5"/>
      <c r="C263" s="7"/>
      <c r="D263" s="5"/>
      <c r="E263" s="8"/>
      <c r="F263" s="5"/>
      <c r="G263" s="5"/>
      <c r="H263" s="5"/>
      <c r="I263" s="5"/>
      <c r="J263" s="5"/>
      <c r="K263" s="5"/>
      <c r="L263" s="5"/>
      <c r="M263" s="5"/>
      <c r="N263" s="5"/>
      <c r="O263" s="5"/>
      <c r="P263" s="5"/>
      <c r="Q263" s="5"/>
      <c r="R263" s="5"/>
      <c r="S263" s="5"/>
    </row>
    <row r="264" ht="15.75" customHeight="1">
      <c r="A264" s="5"/>
      <c r="B264" s="5"/>
      <c r="C264" s="7"/>
      <c r="D264" s="5"/>
      <c r="E264" s="8"/>
      <c r="F264" s="5"/>
      <c r="G264" s="5"/>
      <c r="H264" s="5"/>
      <c r="I264" s="5"/>
      <c r="J264" s="5"/>
      <c r="K264" s="5"/>
      <c r="L264" s="5"/>
      <c r="M264" s="5"/>
      <c r="N264" s="5"/>
      <c r="O264" s="5"/>
      <c r="P264" s="5"/>
      <c r="Q264" s="5"/>
      <c r="R264" s="5"/>
      <c r="S264" s="5"/>
    </row>
    <row r="265" ht="15.75" customHeight="1">
      <c r="A265" s="5"/>
      <c r="B265" s="5"/>
      <c r="C265" s="7"/>
      <c r="D265" s="5"/>
      <c r="E265" s="8"/>
      <c r="F265" s="5"/>
      <c r="G265" s="5"/>
      <c r="H265" s="5"/>
      <c r="I265" s="5"/>
      <c r="J265" s="5"/>
      <c r="K265" s="5"/>
      <c r="L265" s="5"/>
      <c r="M265" s="5"/>
      <c r="N265" s="5"/>
      <c r="O265" s="5"/>
      <c r="P265" s="5"/>
      <c r="Q265" s="5"/>
      <c r="R265" s="5"/>
      <c r="S265" s="5"/>
    </row>
    <row r="266" ht="15.75" customHeight="1">
      <c r="A266" s="5"/>
      <c r="B266" s="5"/>
      <c r="C266" s="7"/>
      <c r="D266" s="5"/>
      <c r="E266" s="8"/>
      <c r="F266" s="5"/>
      <c r="G266" s="5"/>
      <c r="H266" s="5"/>
      <c r="I266" s="5"/>
      <c r="J266" s="5"/>
      <c r="K266" s="5"/>
      <c r="L266" s="5"/>
      <c r="M266" s="5"/>
      <c r="N266" s="5"/>
      <c r="O266" s="5"/>
      <c r="P266" s="5"/>
      <c r="Q266" s="5"/>
      <c r="R266" s="5"/>
      <c r="S266" s="5"/>
    </row>
    <row r="267" ht="15.75" customHeight="1">
      <c r="A267" s="5"/>
      <c r="B267" s="5"/>
      <c r="C267" s="7"/>
      <c r="D267" s="5"/>
      <c r="E267" s="8"/>
      <c r="F267" s="5"/>
      <c r="G267" s="5"/>
      <c r="H267" s="5"/>
      <c r="I267" s="5"/>
      <c r="J267" s="5"/>
      <c r="K267" s="5"/>
      <c r="L267" s="5"/>
      <c r="M267" s="5"/>
      <c r="N267" s="5"/>
      <c r="O267" s="5"/>
      <c r="P267" s="5"/>
      <c r="Q267" s="5"/>
      <c r="R267" s="5"/>
      <c r="S267" s="5"/>
    </row>
    <row r="268" ht="15.75" customHeight="1">
      <c r="A268" s="5"/>
      <c r="B268" s="5"/>
      <c r="C268" s="7"/>
      <c r="D268" s="5"/>
      <c r="E268" s="8"/>
      <c r="F268" s="5"/>
      <c r="G268" s="5"/>
      <c r="H268" s="5"/>
      <c r="I268" s="5"/>
      <c r="J268" s="5"/>
      <c r="K268" s="5"/>
      <c r="L268" s="5"/>
      <c r="M268" s="5"/>
      <c r="N268" s="5"/>
      <c r="O268" s="5"/>
      <c r="P268" s="5"/>
      <c r="Q268" s="5"/>
      <c r="R268" s="5"/>
      <c r="S268" s="5"/>
    </row>
    <row r="269" ht="15.75" customHeight="1">
      <c r="A269" s="5"/>
      <c r="B269" s="5"/>
      <c r="C269" s="7"/>
      <c r="D269" s="5"/>
      <c r="E269" s="8"/>
      <c r="F269" s="5"/>
      <c r="G269" s="5"/>
      <c r="H269" s="5"/>
      <c r="I269" s="5"/>
      <c r="J269" s="5"/>
      <c r="K269" s="5"/>
      <c r="L269" s="5"/>
      <c r="M269" s="5"/>
      <c r="N269" s="5"/>
      <c r="O269" s="5"/>
      <c r="P269" s="5"/>
      <c r="Q269" s="5"/>
      <c r="R269" s="5"/>
      <c r="S269" s="5"/>
    </row>
    <row r="270" ht="15.75" customHeight="1">
      <c r="A270" s="5"/>
      <c r="B270" s="5"/>
      <c r="C270" s="7"/>
      <c r="D270" s="5"/>
      <c r="E270" s="8"/>
      <c r="F270" s="5"/>
      <c r="G270" s="5"/>
      <c r="H270" s="5"/>
      <c r="I270" s="5"/>
      <c r="J270" s="5"/>
      <c r="K270" s="5"/>
      <c r="L270" s="5"/>
      <c r="M270" s="5"/>
      <c r="N270" s="5"/>
      <c r="O270" s="5"/>
      <c r="P270" s="5"/>
      <c r="Q270" s="5"/>
      <c r="R270" s="5"/>
      <c r="S270" s="5"/>
    </row>
    <row r="271" ht="15.75" customHeight="1">
      <c r="A271" s="5"/>
      <c r="B271" s="5"/>
      <c r="C271" s="7"/>
      <c r="D271" s="5"/>
      <c r="E271" s="8"/>
      <c r="F271" s="5"/>
      <c r="G271" s="5"/>
      <c r="H271" s="5"/>
      <c r="I271" s="5"/>
      <c r="J271" s="5"/>
      <c r="K271" s="5"/>
      <c r="L271" s="5"/>
      <c r="M271" s="5"/>
      <c r="N271" s="5"/>
      <c r="O271" s="5"/>
      <c r="P271" s="5"/>
      <c r="Q271" s="5"/>
      <c r="R271" s="5"/>
      <c r="S271" s="5"/>
    </row>
    <row r="272" ht="15.75" customHeight="1">
      <c r="A272" s="5"/>
      <c r="B272" s="5"/>
      <c r="C272" s="7"/>
      <c r="D272" s="5"/>
      <c r="E272" s="8"/>
      <c r="F272" s="5"/>
      <c r="G272" s="5"/>
      <c r="H272" s="5"/>
      <c r="I272" s="5"/>
      <c r="J272" s="5"/>
      <c r="K272" s="5"/>
      <c r="L272" s="5"/>
      <c r="M272" s="5"/>
      <c r="N272" s="5"/>
      <c r="O272" s="5"/>
      <c r="P272" s="5"/>
      <c r="Q272" s="5"/>
      <c r="R272" s="5"/>
      <c r="S272" s="5"/>
    </row>
    <row r="273" ht="15.75" customHeight="1">
      <c r="A273" s="5"/>
      <c r="B273" s="5"/>
      <c r="C273" s="7"/>
      <c r="D273" s="5"/>
      <c r="E273" s="8"/>
      <c r="F273" s="5"/>
      <c r="G273" s="5"/>
      <c r="H273" s="5"/>
      <c r="I273" s="5"/>
      <c r="J273" s="5"/>
      <c r="K273" s="5"/>
      <c r="L273" s="5"/>
      <c r="M273" s="5"/>
      <c r="N273" s="5"/>
      <c r="O273" s="5"/>
      <c r="P273" s="5"/>
      <c r="Q273" s="5"/>
      <c r="R273" s="5"/>
      <c r="S273" s="5"/>
    </row>
    <row r="274" ht="15.75" customHeight="1">
      <c r="A274" s="5"/>
      <c r="B274" s="5"/>
      <c r="C274" s="7"/>
      <c r="D274" s="5"/>
      <c r="E274" s="8"/>
      <c r="F274" s="5"/>
      <c r="G274" s="5"/>
      <c r="H274" s="5"/>
      <c r="I274" s="5"/>
      <c r="J274" s="5"/>
      <c r="K274" s="5"/>
      <c r="L274" s="5"/>
      <c r="M274" s="5"/>
      <c r="N274" s="5"/>
      <c r="O274" s="5"/>
      <c r="P274" s="5"/>
      <c r="Q274" s="5"/>
      <c r="R274" s="5"/>
      <c r="S274" s="5"/>
    </row>
    <row r="275" ht="15.75" customHeight="1">
      <c r="A275" s="5"/>
      <c r="B275" s="5"/>
      <c r="C275" s="7"/>
      <c r="D275" s="5"/>
      <c r="E275" s="8"/>
      <c r="F275" s="5"/>
      <c r="G275" s="5"/>
      <c r="H275" s="5"/>
      <c r="I275" s="5"/>
      <c r="J275" s="5"/>
      <c r="K275" s="5"/>
      <c r="L275" s="5"/>
      <c r="M275" s="5"/>
      <c r="N275" s="5"/>
      <c r="O275" s="5"/>
      <c r="P275" s="5"/>
      <c r="Q275" s="5"/>
      <c r="R275" s="5"/>
      <c r="S275" s="5"/>
    </row>
    <row r="276" ht="15.75" customHeight="1">
      <c r="A276" s="5"/>
      <c r="B276" s="5"/>
      <c r="C276" s="7"/>
      <c r="D276" s="5"/>
      <c r="E276" s="8"/>
      <c r="F276" s="5"/>
      <c r="G276" s="5"/>
      <c r="H276" s="5"/>
      <c r="I276" s="5"/>
      <c r="J276" s="5"/>
      <c r="K276" s="5"/>
      <c r="L276" s="5"/>
      <c r="M276" s="5"/>
      <c r="N276" s="5"/>
      <c r="O276" s="5"/>
      <c r="P276" s="5"/>
      <c r="Q276" s="5"/>
      <c r="R276" s="5"/>
      <c r="S276" s="5"/>
    </row>
    <row r="277" ht="15.75" customHeight="1">
      <c r="A277" s="5"/>
      <c r="B277" s="5"/>
      <c r="C277" s="7"/>
      <c r="D277" s="5"/>
      <c r="E277" s="8"/>
      <c r="F277" s="5"/>
      <c r="G277" s="5"/>
      <c r="H277" s="5"/>
      <c r="I277" s="5"/>
      <c r="J277" s="5"/>
      <c r="K277" s="5"/>
      <c r="L277" s="5"/>
      <c r="M277" s="5"/>
      <c r="N277" s="5"/>
      <c r="O277" s="5"/>
      <c r="P277" s="5"/>
      <c r="Q277" s="5"/>
      <c r="R277" s="5"/>
      <c r="S277" s="5"/>
    </row>
    <row r="278" ht="15.75" customHeight="1">
      <c r="A278" s="5"/>
      <c r="B278" s="5"/>
      <c r="C278" s="7"/>
      <c r="D278" s="5"/>
      <c r="E278" s="8"/>
      <c r="F278" s="5"/>
      <c r="G278" s="5"/>
      <c r="H278" s="5"/>
      <c r="I278" s="5"/>
      <c r="J278" s="5"/>
      <c r="K278" s="5"/>
      <c r="L278" s="5"/>
      <c r="M278" s="5"/>
      <c r="N278" s="5"/>
      <c r="O278" s="5"/>
      <c r="P278" s="5"/>
      <c r="Q278" s="5"/>
      <c r="R278" s="5"/>
      <c r="S278" s="5"/>
    </row>
    <row r="279" ht="15.75" customHeight="1">
      <c r="A279" s="5"/>
      <c r="B279" s="5"/>
      <c r="C279" s="7"/>
      <c r="D279" s="5"/>
      <c r="E279" s="8"/>
      <c r="F279" s="5"/>
      <c r="G279" s="5"/>
      <c r="H279" s="5"/>
      <c r="I279" s="5"/>
      <c r="J279" s="5"/>
      <c r="K279" s="5"/>
      <c r="L279" s="5"/>
      <c r="M279" s="5"/>
      <c r="N279" s="5"/>
      <c r="O279" s="5"/>
      <c r="P279" s="5"/>
      <c r="Q279" s="5"/>
      <c r="R279" s="5"/>
      <c r="S279" s="5"/>
    </row>
    <row r="280" ht="15.75" customHeight="1">
      <c r="A280" s="5"/>
      <c r="B280" s="5"/>
      <c r="C280" s="7"/>
      <c r="D280" s="5"/>
      <c r="E280" s="8"/>
      <c r="F280" s="5"/>
      <c r="G280" s="5"/>
      <c r="H280" s="5"/>
      <c r="I280" s="5"/>
      <c r="J280" s="5"/>
      <c r="K280" s="5"/>
      <c r="L280" s="5"/>
      <c r="M280" s="5"/>
      <c r="N280" s="5"/>
      <c r="O280" s="5"/>
      <c r="P280" s="5"/>
      <c r="Q280" s="5"/>
      <c r="R280" s="5"/>
      <c r="S280" s="5"/>
    </row>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E1"/>
    <mergeCell ref="B12:E12"/>
    <mergeCell ref="E17:E18"/>
    <mergeCell ref="B47:E47"/>
    <mergeCell ref="B49:E49"/>
    <mergeCell ref="B52:E52"/>
    <mergeCell ref="B76:E76"/>
    <mergeCell ref="B80:E102"/>
  </mergeCells>
  <drawing r:id="rId1"/>
</worksheet>
</file>